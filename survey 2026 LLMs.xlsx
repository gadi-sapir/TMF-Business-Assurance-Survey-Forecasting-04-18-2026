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ADILAPTOP2025\Users\Gadi\OneDrive\Sapir\TMF\Survey\"/>
    </mc:Choice>
  </mc:AlternateContent>
  <xr:revisionPtr revIDLastSave="0" documentId="13_ncr:1_{E944F6EA-5459-4356-9820-407DB6986B81}" xr6:coauthVersionLast="47" xr6:coauthVersionMax="47" xr10:uidLastSave="{00000000-0000-0000-0000-000000000000}"/>
  <bookViews>
    <workbookView xWindow="29970" yWindow="470" windowWidth="36070" windowHeight="18860" activeTab="3" xr2:uid="{3B12BF16-0A0F-4170-8E49-FDED3BFEA5D8}"/>
  </bookViews>
  <sheets>
    <sheet name="Row data" sheetId="1" r:id="rId1"/>
    <sheet name="Parsed Data" sheetId="3" r:id="rId2"/>
    <sheet name="cleaned and formatted" sheetId="4" r:id="rId3"/>
    <sheet name="Top model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2" i="6" l="1"/>
  <c r="H5" i="6"/>
  <c r="H6" i="6"/>
  <c r="H7" i="6"/>
  <c r="H8" i="6"/>
  <c r="H9" i="6"/>
  <c r="H10" i="6"/>
  <c r="H11" i="6"/>
  <c r="H13" i="6"/>
  <c r="H14" i="6"/>
  <c r="H15" i="6"/>
  <c r="H16" i="6"/>
  <c r="H17" i="6"/>
  <c r="H18" i="6"/>
  <c r="H19" i="6"/>
  <c r="H20" i="6"/>
  <c r="H21" i="6"/>
  <c r="H23" i="6"/>
  <c r="H24" i="6"/>
  <c r="H25" i="6"/>
  <c r="H26" i="6"/>
  <c r="H27" i="6"/>
  <c r="H28" i="6"/>
  <c r="H30" i="6"/>
  <c r="H31" i="6"/>
  <c r="H32" i="6"/>
  <c r="H33" i="6"/>
  <c r="H34" i="6"/>
  <c r="H35" i="6"/>
  <c r="H36" i="6"/>
  <c r="H38" i="6"/>
  <c r="H39" i="6"/>
  <c r="H40" i="6"/>
  <c r="H43" i="6"/>
  <c r="H44" i="6"/>
  <c r="H45" i="6"/>
  <c r="H46" i="6"/>
  <c r="H47" i="6"/>
  <c r="H49" i="6"/>
  <c r="H50" i="6"/>
  <c r="H51" i="6"/>
  <c r="H52" i="6"/>
  <c r="H53" i="6"/>
  <c r="H55" i="6"/>
  <c r="H56" i="6"/>
  <c r="H57" i="6"/>
  <c r="H58" i="6"/>
  <c r="H59" i="6"/>
  <c r="H62" i="6"/>
  <c r="H63" i="6"/>
  <c r="H64" i="6"/>
  <c r="H65" i="6"/>
  <c r="H66" i="6"/>
  <c r="H67" i="6"/>
  <c r="H69" i="6"/>
  <c r="H70" i="6"/>
  <c r="H71" i="6"/>
  <c r="H72" i="6"/>
  <c r="H73" i="6"/>
  <c r="H74" i="6"/>
  <c r="H76" i="6"/>
  <c r="H77" i="6"/>
  <c r="H78" i="6"/>
  <c r="H79" i="6"/>
  <c r="H80" i="6"/>
  <c r="H81" i="6"/>
  <c r="H84" i="6"/>
  <c r="H85" i="6"/>
  <c r="H86" i="6"/>
  <c r="H87" i="6"/>
  <c r="H88" i="6"/>
  <c r="H89" i="6"/>
  <c r="H90" i="6"/>
  <c r="H92" i="6"/>
  <c r="H93" i="6"/>
  <c r="H94" i="6"/>
  <c r="H95" i="6"/>
  <c r="H96" i="6"/>
  <c r="H97" i="6"/>
  <c r="H98" i="6"/>
  <c r="H100" i="6"/>
  <c r="H101" i="6"/>
  <c r="H102" i="6"/>
  <c r="H103" i="6"/>
  <c r="H104" i="6"/>
  <c r="H105" i="6"/>
  <c r="H106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3" i="6"/>
  <c r="H154" i="6"/>
  <c r="H155" i="6"/>
  <c r="H156" i="6"/>
  <c r="H157" i="6"/>
  <c r="H158" i="6"/>
  <c r="H159" i="6"/>
  <c r="H161" i="6"/>
  <c r="H162" i="6"/>
  <c r="H163" i="6"/>
  <c r="H164" i="6"/>
  <c r="H165" i="6"/>
  <c r="H166" i="6"/>
  <c r="H167" i="6"/>
  <c r="H169" i="6"/>
  <c r="H170" i="6"/>
  <c r="H171" i="6"/>
  <c r="H172" i="6"/>
  <c r="H173" i="6"/>
  <c r="H174" i="6"/>
  <c r="H175" i="6"/>
  <c r="H178" i="6"/>
  <c r="H179" i="6"/>
  <c r="H180" i="6"/>
  <c r="H181" i="6"/>
  <c r="H182" i="6"/>
  <c r="H183" i="6"/>
  <c r="H184" i="6"/>
  <c r="H186" i="6"/>
  <c r="H187" i="6"/>
  <c r="H188" i="6"/>
  <c r="H189" i="6"/>
  <c r="H190" i="6"/>
  <c r="H191" i="6"/>
  <c r="H192" i="6"/>
  <c r="H194" i="6"/>
  <c r="H195" i="6"/>
  <c r="H196" i="6"/>
  <c r="H197" i="6"/>
  <c r="H198" i="6"/>
  <c r="H199" i="6"/>
  <c r="H200" i="6"/>
  <c r="H203" i="6"/>
  <c r="H204" i="6"/>
  <c r="H205" i="6"/>
  <c r="H4" i="6"/>
  <c r="F205" i="6"/>
  <c r="E205" i="6"/>
  <c r="D205" i="6"/>
  <c r="C205" i="6"/>
  <c r="G204" i="6"/>
  <c r="G203" i="6"/>
  <c r="G202" i="6"/>
  <c r="G200" i="6"/>
  <c r="G199" i="6"/>
  <c r="G198" i="6"/>
  <c r="G197" i="6"/>
  <c r="G196" i="6"/>
  <c r="G195" i="6"/>
  <c r="G194" i="6"/>
  <c r="G192" i="6"/>
  <c r="G191" i="6"/>
  <c r="G190" i="6"/>
  <c r="G189" i="6"/>
  <c r="G188" i="6"/>
  <c r="G187" i="6"/>
  <c r="G186" i="6"/>
  <c r="G184" i="6"/>
  <c r="G183" i="6"/>
  <c r="G182" i="6"/>
  <c r="G181" i="6"/>
  <c r="G180" i="6"/>
  <c r="G179" i="6"/>
  <c r="G178" i="6"/>
  <c r="G175" i="6"/>
  <c r="G174" i="6"/>
  <c r="G173" i="6"/>
  <c r="G172" i="6"/>
  <c r="G171" i="6"/>
  <c r="G170" i="6"/>
  <c r="G169" i="6"/>
  <c r="G167" i="6"/>
  <c r="G166" i="6"/>
  <c r="G165" i="6"/>
  <c r="G164" i="6"/>
  <c r="G163" i="6"/>
  <c r="G162" i="6"/>
  <c r="G161" i="6"/>
  <c r="G159" i="6"/>
  <c r="G158" i="6"/>
  <c r="G157" i="6"/>
  <c r="G156" i="6"/>
  <c r="G155" i="6"/>
  <c r="G154" i="6"/>
  <c r="G153" i="6"/>
  <c r="G150" i="6"/>
  <c r="G149" i="6"/>
  <c r="G148" i="6"/>
  <c r="G147" i="6"/>
  <c r="G146" i="6"/>
  <c r="G145" i="6"/>
  <c r="G143" i="6"/>
  <c r="G142" i="6"/>
  <c r="G141" i="6"/>
  <c r="G140" i="6"/>
  <c r="G139" i="6"/>
  <c r="G138" i="6"/>
  <c r="G136" i="6"/>
  <c r="G135" i="6"/>
  <c r="G134" i="6"/>
  <c r="G133" i="6"/>
  <c r="G132" i="6"/>
  <c r="G131" i="6"/>
  <c r="G128" i="6"/>
  <c r="G127" i="6"/>
  <c r="G126" i="6"/>
  <c r="G125" i="6"/>
  <c r="G124" i="6"/>
  <c r="G123" i="6"/>
  <c r="G121" i="6"/>
  <c r="G120" i="6"/>
  <c r="G119" i="6"/>
  <c r="G118" i="6"/>
  <c r="G117" i="6"/>
  <c r="G116" i="6"/>
  <c r="G114" i="6"/>
  <c r="G113" i="6"/>
  <c r="G112" i="6"/>
  <c r="G111" i="6"/>
  <c r="G110" i="6"/>
  <c r="G109" i="6"/>
  <c r="G106" i="6"/>
  <c r="G105" i="6"/>
  <c r="G104" i="6"/>
  <c r="G103" i="6"/>
  <c r="G102" i="6"/>
  <c r="G101" i="6"/>
  <c r="G100" i="6"/>
  <c r="G98" i="6"/>
  <c r="G97" i="6"/>
  <c r="G96" i="6"/>
  <c r="G95" i="6"/>
  <c r="G94" i="6"/>
  <c r="G93" i="6"/>
  <c r="G92" i="6"/>
  <c r="G90" i="6"/>
  <c r="G89" i="6"/>
  <c r="G88" i="6"/>
  <c r="G87" i="6"/>
  <c r="G86" i="6"/>
  <c r="G85" i="6"/>
  <c r="G84" i="6"/>
  <c r="G81" i="6"/>
  <c r="G80" i="6"/>
  <c r="G79" i="6"/>
  <c r="G78" i="6"/>
  <c r="G77" i="6"/>
  <c r="G76" i="6"/>
  <c r="G74" i="6"/>
  <c r="G73" i="6"/>
  <c r="G72" i="6"/>
  <c r="G71" i="6"/>
  <c r="G70" i="6"/>
  <c r="G69" i="6"/>
  <c r="G67" i="6"/>
  <c r="G66" i="6"/>
  <c r="G65" i="6"/>
  <c r="G64" i="6"/>
  <c r="G63" i="6"/>
  <c r="G62" i="6"/>
  <c r="G59" i="6"/>
  <c r="G58" i="6"/>
  <c r="G57" i="6"/>
  <c r="G56" i="6"/>
  <c r="G55" i="6"/>
  <c r="G53" i="6"/>
  <c r="G52" i="6"/>
  <c r="G51" i="6"/>
  <c r="G50" i="6"/>
  <c r="G49" i="6"/>
  <c r="G47" i="6"/>
  <c r="G46" i="6"/>
  <c r="G45" i="6"/>
  <c r="G44" i="6"/>
  <c r="G43" i="6"/>
  <c r="G40" i="6"/>
  <c r="G39" i="6"/>
  <c r="G38" i="6"/>
  <c r="G36" i="6"/>
  <c r="G35" i="6"/>
  <c r="G34" i="6"/>
  <c r="G33" i="6"/>
  <c r="G32" i="6"/>
  <c r="G31" i="6"/>
  <c r="G30" i="6"/>
  <c r="G28" i="6"/>
  <c r="G27" i="6"/>
  <c r="G26" i="6"/>
  <c r="G25" i="6"/>
  <c r="G24" i="6"/>
  <c r="G23" i="6"/>
  <c r="G21" i="6"/>
  <c r="G20" i="6"/>
  <c r="G19" i="6"/>
  <c r="G18" i="6"/>
  <c r="G17" i="6"/>
  <c r="G16" i="6"/>
  <c r="G15" i="6"/>
  <c r="G14" i="6"/>
  <c r="G13" i="6"/>
  <c r="G11" i="6"/>
  <c r="G10" i="6"/>
  <c r="G9" i="6"/>
  <c r="G8" i="6"/>
  <c r="G7" i="6"/>
  <c r="G6" i="6"/>
  <c r="G5" i="6"/>
  <c r="G4" i="6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C205" i="4"/>
  <c r="S4" i="4"/>
  <c r="S5" i="4"/>
  <c r="S6" i="4"/>
  <c r="S7" i="4"/>
  <c r="S8" i="4"/>
  <c r="S9" i="4"/>
  <c r="S10" i="4"/>
  <c r="S11" i="4"/>
  <c r="S13" i="4"/>
  <c r="S14" i="4"/>
  <c r="S15" i="4"/>
  <c r="S16" i="4"/>
  <c r="S17" i="4"/>
  <c r="S18" i="4"/>
  <c r="S19" i="4"/>
  <c r="S20" i="4"/>
  <c r="S21" i="4"/>
  <c r="S23" i="4"/>
  <c r="S24" i="4"/>
  <c r="S25" i="4"/>
  <c r="S26" i="4"/>
  <c r="S27" i="4"/>
  <c r="S28" i="4"/>
  <c r="S30" i="4"/>
  <c r="S31" i="4"/>
  <c r="S32" i="4"/>
  <c r="S33" i="4"/>
  <c r="S34" i="4"/>
  <c r="S35" i="4"/>
  <c r="S36" i="4"/>
  <c r="S38" i="4"/>
  <c r="S39" i="4"/>
  <c r="S40" i="4"/>
  <c r="S43" i="4"/>
  <c r="S44" i="4"/>
  <c r="S45" i="4"/>
  <c r="S46" i="4"/>
  <c r="S47" i="4"/>
  <c r="S49" i="4"/>
  <c r="S50" i="4"/>
  <c r="S51" i="4"/>
  <c r="S52" i="4"/>
  <c r="S53" i="4"/>
  <c r="S55" i="4"/>
  <c r="S56" i="4"/>
  <c r="S57" i="4"/>
  <c r="S58" i="4"/>
  <c r="S59" i="4"/>
  <c r="S62" i="4"/>
  <c r="S63" i="4"/>
  <c r="S64" i="4"/>
  <c r="S65" i="4"/>
  <c r="S66" i="4"/>
  <c r="S67" i="4"/>
  <c r="S69" i="4"/>
  <c r="S70" i="4"/>
  <c r="S71" i="4"/>
  <c r="S72" i="4"/>
  <c r="S73" i="4"/>
  <c r="S74" i="4"/>
  <c r="S76" i="4"/>
  <c r="S77" i="4"/>
  <c r="S78" i="4"/>
  <c r="S79" i="4"/>
  <c r="S80" i="4"/>
  <c r="S81" i="4"/>
  <c r="S84" i="4"/>
  <c r="S85" i="4"/>
  <c r="S86" i="4"/>
  <c r="S87" i="4"/>
  <c r="S88" i="4"/>
  <c r="S89" i="4"/>
  <c r="S90" i="4"/>
  <c r="S92" i="4"/>
  <c r="S93" i="4"/>
  <c r="S94" i="4"/>
  <c r="S95" i="4"/>
  <c r="S96" i="4"/>
  <c r="S97" i="4"/>
  <c r="S98" i="4"/>
  <c r="S100" i="4"/>
  <c r="S101" i="4"/>
  <c r="S102" i="4"/>
  <c r="S103" i="4"/>
  <c r="S104" i="4"/>
  <c r="S105" i="4"/>
  <c r="S106" i="4"/>
  <c r="S109" i="4"/>
  <c r="S110" i="4"/>
  <c r="S111" i="4"/>
  <c r="S112" i="4"/>
  <c r="S113" i="4"/>
  <c r="S114" i="4"/>
  <c r="S116" i="4"/>
  <c r="S117" i="4"/>
  <c r="S118" i="4"/>
  <c r="S119" i="4"/>
  <c r="S120" i="4"/>
  <c r="S121" i="4"/>
  <c r="S123" i="4"/>
  <c r="S124" i="4"/>
  <c r="S125" i="4"/>
  <c r="S126" i="4"/>
  <c r="S127" i="4"/>
  <c r="S128" i="4"/>
  <c r="S131" i="4"/>
  <c r="S132" i="4"/>
  <c r="S133" i="4"/>
  <c r="S134" i="4"/>
  <c r="S135" i="4"/>
  <c r="S136" i="4"/>
  <c r="S138" i="4"/>
  <c r="S139" i="4"/>
  <c r="S140" i="4"/>
  <c r="S141" i="4"/>
  <c r="S142" i="4"/>
  <c r="S143" i="4"/>
  <c r="S145" i="4"/>
  <c r="S146" i="4"/>
  <c r="S147" i="4"/>
  <c r="S148" i="4"/>
  <c r="S149" i="4"/>
  <c r="S150" i="4"/>
  <c r="S153" i="4"/>
  <c r="S154" i="4"/>
  <c r="S155" i="4"/>
  <c r="S156" i="4"/>
  <c r="S157" i="4"/>
  <c r="S158" i="4"/>
  <c r="S159" i="4"/>
  <c r="S161" i="4"/>
  <c r="S162" i="4"/>
  <c r="S163" i="4"/>
  <c r="S164" i="4"/>
  <c r="S165" i="4"/>
  <c r="S166" i="4"/>
  <c r="S167" i="4"/>
  <c r="S169" i="4"/>
  <c r="S170" i="4"/>
  <c r="S171" i="4"/>
  <c r="S172" i="4"/>
  <c r="S173" i="4"/>
  <c r="S174" i="4"/>
  <c r="S175" i="4"/>
  <c r="S178" i="4"/>
  <c r="S179" i="4"/>
  <c r="S180" i="4"/>
  <c r="S181" i="4"/>
  <c r="S182" i="4"/>
  <c r="S183" i="4"/>
  <c r="S184" i="4"/>
  <c r="S186" i="4"/>
  <c r="S187" i="4"/>
  <c r="S188" i="4"/>
  <c r="S189" i="4"/>
  <c r="S190" i="4"/>
  <c r="S191" i="4"/>
  <c r="S192" i="4"/>
  <c r="S194" i="4"/>
  <c r="S195" i="4"/>
  <c r="S196" i="4"/>
  <c r="S197" i="4"/>
  <c r="S198" i="4"/>
  <c r="S199" i="4"/>
  <c r="S200" i="4"/>
  <c r="S201" i="4"/>
  <c r="S202" i="4"/>
  <c r="S203" i="4"/>
  <c r="S204" i="4"/>
  <c r="AW3" i="3"/>
  <c r="AX3" i="3"/>
  <c r="AW4" i="3"/>
  <c r="AX4" i="3"/>
  <c r="AW5" i="3"/>
  <c r="AX5" i="3"/>
  <c r="AW6" i="3"/>
  <c r="AX6" i="3"/>
  <c r="AW7" i="3"/>
  <c r="AX7" i="3"/>
  <c r="AW8" i="3"/>
  <c r="AX8" i="3"/>
  <c r="AW9" i="3"/>
  <c r="AX9" i="3"/>
  <c r="AW10" i="3"/>
  <c r="AX10" i="3"/>
  <c r="AW11" i="3"/>
  <c r="AX11" i="3"/>
  <c r="AW12" i="3"/>
  <c r="AX12" i="3"/>
  <c r="AW13" i="3"/>
  <c r="AX13" i="3"/>
  <c r="AW14" i="3"/>
  <c r="AX14" i="3"/>
  <c r="AW15" i="3"/>
  <c r="AX15" i="3"/>
  <c r="AW16" i="3"/>
  <c r="AX16" i="3"/>
  <c r="AW17" i="3"/>
  <c r="AX17" i="3"/>
  <c r="AW18" i="3"/>
  <c r="AX18" i="3"/>
  <c r="AW19" i="3"/>
  <c r="AX19" i="3"/>
  <c r="AW20" i="3"/>
  <c r="AX20" i="3"/>
  <c r="AW21" i="3"/>
  <c r="AX21" i="3"/>
  <c r="AW22" i="3"/>
  <c r="AX22" i="3"/>
  <c r="AW23" i="3"/>
  <c r="AX23" i="3"/>
  <c r="AW24" i="3"/>
  <c r="AX24" i="3"/>
  <c r="AW25" i="3"/>
  <c r="AX25" i="3"/>
  <c r="AW26" i="3"/>
  <c r="AX26" i="3"/>
  <c r="AW27" i="3"/>
  <c r="AX27" i="3"/>
  <c r="AW28" i="3"/>
  <c r="AX28" i="3"/>
  <c r="AW29" i="3"/>
  <c r="AX29" i="3"/>
  <c r="AW30" i="3"/>
  <c r="AX30" i="3"/>
  <c r="AW31" i="3"/>
  <c r="AX31" i="3"/>
  <c r="AW32" i="3"/>
  <c r="AX32" i="3"/>
  <c r="AW33" i="3"/>
  <c r="AX33" i="3"/>
  <c r="AW34" i="3"/>
  <c r="AX34" i="3"/>
  <c r="AW35" i="3"/>
  <c r="AX35" i="3"/>
  <c r="AW36" i="3"/>
  <c r="AX36" i="3"/>
  <c r="AW37" i="3"/>
  <c r="AX37" i="3"/>
  <c r="AW38" i="3"/>
  <c r="AX38" i="3"/>
  <c r="AW39" i="3"/>
  <c r="AX39" i="3"/>
  <c r="AW40" i="3"/>
  <c r="AX40" i="3"/>
  <c r="AW41" i="3"/>
  <c r="AX41" i="3"/>
  <c r="AW42" i="3"/>
  <c r="AX42" i="3"/>
  <c r="AW43" i="3"/>
  <c r="AX43" i="3"/>
  <c r="AW44" i="3"/>
  <c r="AX44" i="3"/>
  <c r="AW45" i="3"/>
  <c r="AX45" i="3"/>
  <c r="AW46" i="3"/>
  <c r="AX46" i="3"/>
  <c r="AW47" i="3"/>
  <c r="AX47" i="3"/>
  <c r="AW48" i="3"/>
  <c r="AX48" i="3"/>
  <c r="AW49" i="3"/>
  <c r="AX49" i="3"/>
  <c r="AW50" i="3"/>
  <c r="AX50" i="3"/>
  <c r="AW51" i="3"/>
  <c r="AX51" i="3"/>
  <c r="AW52" i="3"/>
  <c r="AX52" i="3"/>
  <c r="AW53" i="3"/>
  <c r="AX53" i="3"/>
  <c r="AW54" i="3"/>
  <c r="AX54" i="3"/>
  <c r="AW55" i="3"/>
  <c r="AX55" i="3"/>
  <c r="AW56" i="3"/>
  <c r="AX56" i="3"/>
  <c r="AW57" i="3"/>
  <c r="AX57" i="3"/>
  <c r="AW58" i="3"/>
  <c r="AX58" i="3"/>
  <c r="AW59" i="3"/>
  <c r="AX59" i="3"/>
  <c r="AW60" i="3"/>
  <c r="AX60" i="3"/>
  <c r="AW61" i="3"/>
  <c r="AX61" i="3"/>
  <c r="AW62" i="3"/>
  <c r="AX62" i="3"/>
  <c r="AW63" i="3"/>
  <c r="AX63" i="3"/>
  <c r="AW64" i="3"/>
  <c r="AX64" i="3"/>
  <c r="AW65" i="3"/>
  <c r="AX65" i="3"/>
  <c r="AW66" i="3"/>
  <c r="AX66" i="3"/>
  <c r="AW67" i="3"/>
  <c r="AX67" i="3"/>
  <c r="AW68" i="3"/>
  <c r="AX68" i="3"/>
  <c r="AW69" i="3"/>
  <c r="AX69" i="3"/>
  <c r="AW70" i="3"/>
  <c r="AX70" i="3"/>
  <c r="AW71" i="3"/>
  <c r="AX71" i="3"/>
  <c r="AW72" i="3"/>
  <c r="AX72" i="3"/>
  <c r="AW73" i="3"/>
  <c r="AX73" i="3"/>
  <c r="AW74" i="3"/>
  <c r="AX74" i="3"/>
  <c r="AW75" i="3"/>
  <c r="AX75" i="3"/>
  <c r="AW76" i="3"/>
  <c r="AX76" i="3"/>
  <c r="AW77" i="3"/>
  <c r="AX77" i="3"/>
  <c r="AW78" i="3"/>
  <c r="AX78" i="3"/>
  <c r="AW79" i="3"/>
  <c r="AX79" i="3"/>
  <c r="AW80" i="3"/>
  <c r="AX80" i="3"/>
  <c r="AW81" i="3"/>
  <c r="AX81" i="3"/>
  <c r="AW82" i="3"/>
  <c r="AX82" i="3"/>
  <c r="AW83" i="3"/>
  <c r="AX83" i="3"/>
  <c r="AW84" i="3"/>
  <c r="AX84" i="3"/>
  <c r="AW85" i="3"/>
  <c r="AX85" i="3"/>
  <c r="AW86" i="3"/>
  <c r="AX86" i="3"/>
  <c r="AW87" i="3"/>
  <c r="AX87" i="3"/>
  <c r="AW88" i="3"/>
  <c r="AX88" i="3"/>
  <c r="AW89" i="3"/>
  <c r="AX89" i="3"/>
  <c r="AW90" i="3"/>
  <c r="AX90" i="3"/>
  <c r="AW91" i="3"/>
  <c r="AX91" i="3"/>
  <c r="AW92" i="3"/>
  <c r="AX92" i="3"/>
  <c r="AW93" i="3"/>
  <c r="AX93" i="3"/>
  <c r="AW94" i="3"/>
  <c r="AX94" i="3"/>
  <c r="AW95" i="3"/>
  <c r="AX95" i="3"/>
  <c r="AW96" i="3"/>
  <c r="AX96" i="3"/>
  <c r="AW97" i="3"/>
  <c r="AX97" i="3"/>
  <c r="AW98" i="3"/>
  <c r="AX98" i="3"/>
  <c r="AW99" i="3"/>
  <c r="AX99" i="3"/>
  <c r="AW100" i="3"/>
  <c r="AX100" i="3"/>
  <c r="AW101" i="3"/>
  <c r="AX101" i="3"/>
  <c r="AW102" i="3"/>
  <c r="AX102" i="3"/>
  <c r="AW103" i="3"/>
  <c r="AX103" i="3"/>
  <c r="AW104" i="3"/>
  <c r="AX104" i="3"/>
  <c r="AW105" i="3"/>
  <c r="AX105" i="3"/>
  <c r="AW106" i="3"/>
  <c r="AX106" i="3"/>
  <c r="AW107" i="3"/>
  <c r="AX107" i="3"/>
  <c r="AW108" i="3"/>
  <c r="AX108" i="3"/>
  <c r="AW109" i="3"/>
  <c r="AX109" i="3"/>
  <c r="AW110" i="3"/>
  <c r="AX110" i="3"/>
  <c r="AW111" i="3"/>
  <c r="AX111" i="3"/>
  <c r="AW112" i="3"/>
  <c r="AX112" i="3"/>
  <c r="AW113" i="3"/>
  <c r="AX113" i="3"/>
  <c r="AW114" i="3"/>
  <c r="AX114" i="3"/>
  <c r="AW115" i="3"/>
  <c r="AX115" i="3"/>
  <c r="AW116" i="3"/>
  <c r="AX116" i="3"/>
  <c r="AW117" i="3"/>
  <c r="AX117" i="3"/>
  <c r="AW118" i="3"/>
  <c r="AX118" i="3"/>
  <c r="AW119" i="3"/>
  <c r="AX119" i="3"/>
  <c r="AW120" i="3"/>
  <c r="AX120" i="3"/>
  <c r="AW121" i="3"/>
  <c r="AX121" i="3"/>
  <c r="AW122" i="3"/>
  <c r="AX122" i="3"/>
  <c r="AW123" i="3"/>
  <c r="AX123" i="3"/>
  <c r="AW124" i="3"/>
  <c r="AX124" i="3"/>
  <c r="AW125" i="3"/>
  <c r="AX125" i="3"/>
  <c r="AW126" i="3"/>
  <c r="AX126" i="3"/>
  <c r="AW127" i="3"/>
  <c r="AX127" i="3"/>
  <c r="AW128" i="3"/>
  <c r="AX128" i="3"/>
  <c r="AW129" i="3"/>
  <c r="AX129" i="3"/>
  <c r="AW130" i="3"/>
  <c r="AX130" i="3"/>
  <c r="AW131" i="3"/>
  <c r="AX131" i="3"/>
  <c r="AW132" i="3"/>
  <c r="AX132" i="3"/>
  <c r="AW133" i="3"/>
  <c r="AX133" i="3"/>
  <c r="AW134" i="3"/>
  <c r="AX134" i="3"/>
  <c r="AW135" i="3"/>
  <c r="AX135" i="3"/>
  <c r="AW136" i="3"/>
  <c r="AX136" i="3"/>
  <c r="AW137" i="3"/>
  <c r="AX137" i="3"/>
  <c r="AW138" i="3"/>
  <c r="AX138" i="3"/>
  <c r="AW139" i="3"/>
  <c r="AX139" i="3"/>
  <c r="AW140" i="3"/>
  <c r="AX140" i="3"/>
  <c r="AW141" i="3"/>
  <c r="AX141" i="3"/>
  <c r="AW142" i="3"/>
  <c r="AX142" i="3"/>
  <c r="AW143" i="3"/>
  <c r="AX143" i="3"/>
  <c r="AW144" i="3"/>
  <c r="AX144" i="3"/>
  <c r="AW145" i="3"/>
  <c r="AX145" i="3"/>
  <c r="AW146" i="3"/>
  <c r="AX146" i="3"/>
  <c r="AW147" i="3"/>
  <c r="AX147" i="3"/>
  <c r="AW148" i="3"/>
  <c r="AX148" i="3"/>
  <c r="AW149" i="3"/>
  <c r="AX149" i="3"/>
  <c r="AW150" i="3"/>
  <c r="AX150" i="3"/>
  <c r="AW151" i="3"/>
  <c r="AX151" i="3"/>
  <c r="AW152" i="3"/>
  <c r="AX152" i="3"/>
  <c r="AW153" i="3"/>
  <c r="AX153" i="3"/>
  <c r="AW154" i="3"/>
  <c r="AX154" i="3"/>
  <c r="AW155" i="3"/>
  <c r="AX155" i="3"/>
  <c r="AW156" i="3"/>
  <c r="AX156" i="3"/>
  <c r="AW157" i="3"/>
  <c r="AX157" i="3"/>
  <c r="AW158" i="3"/>
  <c r="AX158" i="3"/>
  <c r="AW159" i="3"/>
  <c r="AX159" i="3"/>
  <c r="AW160" i="3"/>
  <c r="AX160" i="3"/>
  <c r="AW161" i="3"/>
  <c r="AX161" i="3"/>
  <c r="AW162" i="3"/>
  <c r="AX162" i="3"/>
  <c r="AW163" i="3"/>
  <c r="AX163" i="3"/>
  <c r="AW164" i="3"/>
  <c r="AX164" i="3"/>
  <c r="AW165" i="3"/>
  <c r="AX165" i="3"/>
  <c r="AW166" i="3"/>
  <c r="AX166" i="3"/>
  <c r="AW167" i="3"/>
  <c r="AX167" i="3"/>
  <c r="AW168" i="3"/>
  <c r="AX168" i="3"/>
  <c r="AW169" i="3"/>
  <c r="AX169" i="3"/>
  <c r="AW170" i="3"/>
  <c r="AX170" i="3"/>
  <c r="AW171" i="3"/>
  <c r="AX171" i="3"/>
  <c r="AW172" i="3"/>
  <c r="AX172" i="3"/>
  <c r="AW173" i="3"/>
  <c r="AX173" i="3"/>
  <c r="AW174" i="3"/>
  <c r="AX174" i="3"/>
  <c r="AW175" i="3"/>
  <c r="AX175" i="3"/>
  <c r="AW176" i="3"/>
  <c r="AX176" i="3"/>
  <c r="AW177" i="3"/>
  <c r="AX177" i="3"/>
  <c r="AW178" i="3"/>
  <c r="AX178" i="3"/>
  <c r="AW179" i="3"/>
  <c r="AX179" i="3"/>
  <c r="AW180" i="3"/>
  <c r="AX180" i="3"/>
  <c r="AW181" i="3"/>
  <c r="AX181" i="3"/>
  <c r="AW182" i="3"/>
  <c r="AX182" i="3"/>
  <c r="AW183" i="3"/>
  <c r="AX183" i="3"/>
  <c r="AW184" i="3"/>
  <c r="AX184" i="3"/>
  <c r="AW185" i="3"/>
  <c r="AX185" i="3"/>
  <c r="AW186" i="3"/>
  <c r="AX186" i="3"/>
  <c r="AW187" i="3"/>
  <c r="AX187" i="3"/>
  <c r="AW188" i="3"/>
  <c r="AX188" i="3"/>
  <c r="AW189" i="3"/>
  <c r="AX189" i="3"/>
  <c r="AW190" i="3"/>
  <c r="AX190" i="3"/>
  <c r="AW191" i="3"/>
  <c r="AX191" i="3"/>
  <c r="AW192" i="3"/>
  <c r="AX192" i="3"/>
  <c r="AW193" i="3"/>
  <c r="AX193" i="3"/>
  <c r="AW194" i="3"/>
  <c r="AX194" i="3"/>
  <c r="AW195" i="3"/>
  <c r="AX195" i="3"/>
  <c r="AW196" i="3"/>
  <c r="AX196" i="3"/>
  <c r="AW197" i="3"/>
  <c r="AX197" i="3"/>
  <c r="AW198" i="3"/>
  <c r="AX198" i="3"/>
  <c r="AW199" i="3"/>
  <c r="AX199" i="3"/>
  <c r="AW200" i="3"/>
  <c r="AX200" i="3"/>
  <c r="AW201" i="3"/>
  <c r="AX201" i="3"/>
  <c r="AW202" i="3"/>
  <c r="AX202" i="3"/>
  <c r="AW203" i="3"/>
  <c r="AX203" i="3"/>
  <c r="AW204" i="3"/>
  <c r="AX204" i="3"/>
  <c r="AW205" i="3"/>
  <c r="AX205" i="3"/>
  <c r="AW206" i="3"/>
  <c r="AX206" i="3"/>
  <c r="AW207" i="3"/>
  <c r="AX207" i="3"/>
  <c r="AW208" i="3"/>
  <c r="AX208" i="3"/>
  <c r="AW209" i="3"/>
  <c r="AX209" i="3"/>
  <c r="AW210" i="3"/>
  <c r="AX210" i="3"/>
  <c r="AW211" i="3"/>
  <c r="AX211" i="3"/>
  <c r="AW212" i="3"/>
  <c r="AX212" i="3"/>
  <c r="AX2" i="3"/>
  <c r="AW2" i="3"/>
  <c r="AK3" i="3"/>
  <c r="AL3" i="3"/>
  <c r="AK4" i="3"/>
  <c r="AL4" i="3"/>
  <c r="AK5" i="3"/>
  <c r="AL5" i="3"/>
  <c r="AK6" i="3"/>
  <c r="AL6" i="3"/>
  <c r="AK7" i="3"/>
  <c r="AL7" i="3"/>
  <c r="AK8" i="3"/>
  <c r="AL8" i="3"/>
  <c r="AK9" i="3"/>
  <c r="AL9" i="3"/>
  <c r="AK10" i="3"/>
  <c r="AL10" i="3"/>
  <c r="AK11" i="3"/>
  <c r="AL11" i="3"/>
  <c r="AK12" i="3"/>
  <c r="AL12" i="3"/>
  <c r="AK13" i="3"/>
  <c r="AL13" i="3"/>
  <c r="AK14" i="3"/>
  <c r="AL14" i="3"/>
  <c r="AK15" i="3"/>
  <c r="AL15" i="3"/>
  <c r="AK16" i="3"/>
  <c r="AL16" i="3"/>
  <c r="AK17" i="3"/>
  <c r="AL17" i="3"/>
  <c r="AK18" i="3"/>
  <c r="AL18" i="3"/>
  <c r="AK19" i="3"/>
  <c r="AL19" i="3"/>
  <c r="AK20" i="3"/>
  <c r="AL20" i="3"/>
  <c r="AK21" i="3"/>
  <c r="AL21" i="3"/>
  <c r="AK22" i="3"/>
  <c r="AL22" i="3"/>
  <c r="AK23" i="3"/>
  <c r="AL23" i="3"/>
  <c r="AK24" i="3"/>
  <c r="AL24" i="3"/>
  <c r="AK25" i="3"/>
  <c r="AL25" i="3"/>
  <c r="AK26" i="3"/>
  <c r="AL26" i="3"/>
  <c r="AK27" i="3"/>
  <c r="AL27" i="3"/>
  <c r="AK28" i="3"/>
  <c r="AL28" i="3"/>
  <c r="AK29" i="3"/>
  <c r="AL29" i="3"/>
  <c r="AK30" i="3"/>
  <c r="AL30" i="3"/>
  <c r="AK31" i="3"/>
  <c r="AL31" i="3"/>
  <c r="AK32" i="3"/>
  <c r="AL32" i="3"/>
  <c r="AK33" i="3"/>
  <c r="AL33" i="3"/>
  <c r="AK34" i="3"/>
  <c r="AL34" i="3"/>
  <c r="AK35" i="3"/>
  <c r="AL35" i="3"/>
  <c r="AK36" i="3"/>
  <c r="AL36" i="3"/>
  <c r="AK37" i="3"/>
  <c r="AL37" i="3"/>
  <c r="AK38" i="3"/>
  <c r="AL38" i="3"/>
  <c r="AK39" i="3"/>
  <c r="AL39" i="3"/>
  <c r="AK40" i="3"/>
  <c r="AL40" i="3"/>
  <c r="AK41" i="3"/>
  <c r="AL41" i="3"/>
  <c r="AK42" i="3"/>
  <c r="AL42" i="3"/>
  <c r="AK43" i="3"/>
  <c r="AL43" i="3"/>
  <c r="AK44" i="3"/>
  <c r="AL44" i="3"/>
  <c r="AK45" i="3"/>
  <c r="AL45" i="3"/>
  <c r="AK46" i="3"/>
  <c r="AL46" i="3"/>
  <c r="AK47" i="3"/>
  <c r="AL47" i="3"/>
  <c r="AK48" i="3"/>
  <c r="AL48" i="3"/>
  <c r="AK49" i="3"/>
  <c r="AL49" i="3"/>
  <c r="AK50" i="3"/>
  <c r="AL50" i="3"/>
  <c r="AK51" i="3"/>
  <c r="AL51" i="3"/>
  <c r="AK52" i="3"/>
  <c r="AL52" i="3"/>
  <c r="AK53" i="3"/>
  <c r="AL53" i="3"/>
  <c r="AK54" i="3"/>
  <c r="AL54" i="3"/>
  <c r="AK55" i="3"/>
  <c r="AL55" i="3"/>
  <c r="AK56" i="3"/>
  <c r="AL56" i="3"/>
  <c r="AK57" i="3"/>
  <c r="AL57" i="3"/>
  <c r="AK58" i="3"/>
  <c r="AL58" i="3"/>
  <c r="AK59" i="3"/>
  <c r="AL59" i="3"/>
  <c r="AK60" i="3"/>
  <c r="AL60" i="3"/>
  <c r="AK61" i="3"/>
  <c r="AL61" i="3"/>
  <c r="AK62" i="3"/>
  <c r="AL62" i="3"/>
  <c r="AK63" i="3"/>
  <c r="AL63" i="3"/>
  <c r="AK64" i="3"/>
  <c r="AL64" i="3"/>
  <c r="AK65" i="3"/>
  <c r="AL65" i="3"/>
  <c r="AK66" i="3"/>
  <c r="AL66" i="3"/>
  <c r="AK67" i="3"/>
  <c r="AL67" i="3"/>
  <c r="AK68" i="3"/>
  <c r="AL68" i="3"/>
  <c r="AK69" i="3"/>
  <c r="AL69" i="3"/>
  <c r="AK70" i="3"/>
  <c r="AL70" i="3"/>
  <c r="AK71" i="3"/>
  <c r="AL71" i="3"/>
  <c r="AK72" i="3"/>
  <c r="AL72" i="3"/>
  <c r="AK73" i="3"/>
  <c r="AL73" i="3"/>
  <c r="AK74" i="3"/>
  <c r="AL74" i="3"/>
  <c r="AK75" i="3"/>
  <c r="AL75" i="3"/>
  <c r="AK76" i="3"/>
  <c r="AL76" i="3"/>
  <c r="AK77" i="3"/>
  <c r="AL77" i="3"/>
  <c r="AK78" i="3"/>
  <c r="AL78" i="3"/>
  <c r="AK79" i="3"/>
  <c r="AL79" i="3"/>
  <c r="AK80" i="3"/>
  <c r="AL80" i="3"/>
  <c r="AK81" i="3"/>
  <c r="AL81" i="3"/>
  <c r="AK82" i="3"/>
  <c r="AL82" i="3"/>
  <c r="AK83" i="3"/>
  <c r="AL83" i="3"/>
  <c r="AK84" i="3"/>
  <c r="AL84" i="3"/>
  <c r="AK85" i="3"/>
  <c r="AL85" i="3"/>
  <c r="AK86" i="3"/>
  <c r="AL86" i="3"/>
  <c r="AK87" i="3"/>
  <c r="AL87" i="3"/>
  <c r="AK88" i="3"/>
  <c r="AL88" i="3"/>
  <c r="AK89" i="3"/>
  <c r="AL89" i="3"/>
  <c r="AK90" i="3"/>
  <c r="AL90" i="3"/>
  <c r="AK91" i="3"/>
  <c r="AL91" i="3"/>
  <c r="AK92" i="3"/>
  <c r="AL92" i="3"/>
  <c r="AK93" i="3"/>
  <c r="AL93" i="3"/>
  <c r="AK94" i="3"/>
  <c r="AL94" i="3"/>
  <c r="AK95" i="3"/>
  <c r="AL95" i="3"/>
  <c r="AK96" i="3"/>
  <c r="AL96" i="3"/>
  <c r="AK97" i="3"/>
  <c r="AL97" i="3"/>
  <c r="AK98" i="3"/>
  <c r="AL98" i="3"/>
  <c r="AK99" i="3"/>
  <c r="AL99" i="3"/>
  <c r="AK100" i="3"/>
  <c r="AL100" i="3"/>
  <c r="AK101" i="3"/>
  <c r="AL101" i="3"/>
  <c r="AK102" i="3"/>
  <c r="AL102" i="3"/>
  <c r="AK103" i="3"/>
  <c r="AL103" i="3"/>
  <c r="AK104" i="3"/>
  <c r="AL104" i="3"/>
  <c r="AK105" i="3"/>
  <c r="AL105" i="3"/>
  <c r="AK106" i="3"/>
  <c r="AL106" i="3"/>
  <c r="AK107" i="3"/>
  <c r="AL107" i="3"/>
  <c r="AK108" i="3"/>
  <c r="AL108" i="3"/>
  <c r="AK109" i="3"/>
  <c r="AL109" i="3"/>
  <c r="AK110" i="3"/>
  <c r="AL110" i="3"/>
  <c r="AK111" i="3"/>
  <c r="AL111" i="3"/>
  <c r="AK112" i="3"/>
  <c r="AL112" i="3"/>
  <c r="AK113" i="3"/>
  <c r="AL113" i="3"/>
  <c r="AK114" i="3"/>
  <c r="AL114" i="3"/>
  <c r="AK115" i="3"/>
  <c r="AL115" i="3"/>
  <c r="AK116" i="3"/>
  <c r="AL116" i="3"/>
  <c r="AK117" i="3"/>
  <c r="AL117" i="3"/>
  <c r="AK118" i="3"/>
  <c r="AL118" i="3"/>
  <c r="AK119" i="3"/>
  <c r="AL119" i="3"/>
  <c r="AK120" i="3"/>
  <c r="AL120" i="3"/>
  <c r="AK121" i="3"/>
  <c r="AL121" i="3"/>
  <c r="AK122" i="3"/>
  <c r="AL122" i="3"/>
  <c r="AK123" i="3"/>
  <c r="AL123" i="3"/>
  <c r="AK124" i="3"/>
  <c r="AL124" i="3"/>
  <c r="AK125" i="3"/>
  <c r="AL125" i="3"/>
  <c r="AK126" i="3"/>
  <c r="AL126" i="3"/>
  <c r="AK127" i="3"/>
  <c r="AL127" i="3"/>
  <c r="AK128" i="3"/>
  <c r="AL128" i="3"/>
  <c r="AK129" i="3"/>
  <c r="AL129" i="3"/>
  <c r="AK130" i="3"/>
  <c r="AL130" i="3"/>
  <c r="AK131" i="3"/>
  <c r="AL131" i="3"/>
  <c r="AK132" i="3"/>
  <c r="AL132" i="3"/>
  <c r="AK133" i="3"/>
  <c r="AL133" i="3"/>
  <c r="AK134" i="3"/>
  <c r="AL134" i="3"/>
  <c r="AK135" i="3"/>
  <c r="AL135" i="3"/>
  <c r="AK136" i="3"/>
  <c r="AL136" i="3"/>
  <c r="AK137" i="3"/>
  <c r="AL137" i="3"/>
  <c r="AK138" i="3"/>
  <c r="AL138" i="3"/>
  <c r="AK139" i="3"/>
  <c r="AL139" i="3"/>
  <c r="AK140" i="3"/>
  <c r="AL140" i="3"/>
  <c r="AK141" i="3"/>
  <c r="AL141" i="3"/>
  <c r="AK142" i="3"/>
  <c r="AL142" i="3"/>
  <c r="AK143" i="3"/>
  <c r="AL143" i="3"/>
  <c r="AK144" i="3"/>
  <c r="AL144" i="3"/>
  <c r="AK145" i="3"/>
  <c r="AL145" i="3"/>
  <c r="AK146" i="3"/>
  <c r="AL146" i="3"/>
  <c r="AK147" i="3"/>
  <c r="AL147" i="3"/>
  <c r="AK148" i="3"/>
  <c r="AL148" i="3"/>
  <c r="AK149" i="3"/>
  <c r="AL149" i="3"/>
  <c r="AK150" i="3"/>
  <c r="AL150" i="3"/>
  <c r="AK151" i="3"/>
  <c r="AL151" i="3"/>
  <c r="AK152" i="3"/>
  <c r="AL152" i="3"/>
  <c r="AK153" i="3"/>
  <c r="AL153" i="3"/>
  <c r="AK154" i="3"/>
  <c r="AL154" i="3"/>
  <c r="AK155" i="3"/>
  <c r="AL155" i="3"/>
  <c r="AK156" i="3"/>
  <c r="AL156" i="3"/>
  <c r="AK157" i="3"/>
  <c r="AL157" i="3"/>
  <c r="AK158" i="3"/>
  <c r="AL158" i="3"/>
  <c r="AK159" i="3"/>
  <c r="AL159" i="3"/>
  <c r="AK160" i="3"/>
  <c r="AL160" i="3"/>
  <c r="AK161" i="3"/>
  <c r="AL161" i="3"/>
  <c r="AK162" i="3"/>
  <c r="AL162" i="3"/>
  <c r="AK163" i="3"/>
  <c r="AL163" i="3"/>
  <c r="AK164" i="3"/>
  <c r="AL164" i="3"/>
  <c r="AK165" i="3"/>
  <c r="AL165" i="3"/>
  <c r="AK166" i="3"/>
  <c r="AL166" i="3"/>
  <c r="AK167" i="3"/>
  <c r="AL167" i="3"/>
  <c r="AK168" i="3"/>
  <c r="AL168" i="3"/>
  <c r="AK169" i="3"/>
  <c r="AL169" i="3"/>
  <c r="AK170" i="3"/>
  <c r="AL170" i="3"/>
  <c r="AK171" i="3"/>
  <c r="AL171" i="3"/>
  <c r="AK172" i="3"/>
  <c r="AL172" i="3"/>
  <c r="AK173" i="3"/>
  <c r="AL173" i="3"/>
  <c r="AK174" i="3"/>
  <c r="AL174" i="3"/>
  <c r="AK175" i="3"/>
  <c r="AL175" i="3"/>
  <c r="AK176" i="3"/>
  <c r="AL176" i="3"/>
  <c r="AK177" i="3"/>
  <c r="AL177" i="3"/>
  <c r="AK178" i="3"/>
  <c r="AL178" i="3"/>
  <c r="AK179" i="3"/>
  <c r="AL179" i="3"/>
  <c r="AK180" i="3"/>
  <c r="AL180" i="3"/>
  <c r="AK181" i="3"/>
  <c r="AL181" i="3"/>
  <c r="AK182" i="3"/>
  <c r="AL182" i="3"/>
  <c r="AK183" i="3"/>
  <c r="AL183" i="3"/>
  <c r="AK184" i="3"/>
  <c r="AL184" i="3"/>
  <c r="AK185" i="3"/>
  <c r="AL185" i="3"/>
  <c r="AK186" i="3"/>
  <c r="AL186" i="3"/>
  <c r="AK187" i="3"/>
  <c r="AL187" i="3"/>
  <c r="AK188" i="3"/>
  <c r="AL188" i="3"/>
  <c r="AK189" i="3"/>
  <c r="AL189" i="3"/>
  <c r="AK190" i="3"/>
  <c r="AL190" i="3"/>
  <c r="AK191" i="3"/>
  <c r="AL191" i="3"/>
  <c r="AK192" i="3"/>
  <c r="AL192" i="3"/>
  <c r="AK193" i="3"/>
  <c r="AL193" i="3"/>
  <c r="AK194" i="3"/>
  <c r="AL194" i="3"/>
  <c r="AK195" i="3"/>
  <c r="AL195" i="3"/>
  <c r="AK196" i="3"/>
  <c r="AL196" i="3"/>
  <c r="AK197" i="3"/>
  <c r="AL197" i="3"/>
  <c r="AK198" i="3"/>
  <c r="AL198" i="3"/>
  <c r="AK199" i="3"/>
  <c r="AL199" i="3"/>
  <c r="AK200" i="3"/>
  <c r="AL200" i="3"/>
  <c r="AK201" i="3"/>
  <c r="AL201" i="3"/>
  <c r="AK202" i="3"/>
  <c r="AL202" i="3"/>
  <c r="AK203" i="3"/>
  <c r="AL203" i="3"/>
  <c r="AK204" i="3"/>
  <c r="AL204" i="3"/>
  <c r="AK205" i="3"/>
  <c r="AL205" i="3"/>
  <c r="AK206" i="3"/>
  <c r="AL206" i="3"/>
  <c r="AK207" i="3"/>
  <c r="AL207" i="3"/>
  <c r="AK208" i="3"/>
  <c r="AL208" i="3"/>
  <c r="AK209" i="3"/>
  <c r="AL209" i="3"/>
  <c r="AK210" i="3"/>
  <c r="AL210" i="3"/>
  <c r="AK211" i="3"/>
  <c r="AL211" i="3"/>
  <c r="AK212" i="3"/>
  <c r="AL212" i="3"/>
  <c r="AL2" i="3"/>
  <c r="AK2" i="3"/>
  <c r="AT3" i="3"/>
  <c r="AU3" i="3"/>
  <c r="AT4" i="3"/>
  <c r="AU4" i="3"/>
  <c r="AT5" i="3"/>
  <c r="AU5" i="3"/>
  <c r="AT6" i="3"/>
  <c r="AU6" i="3"/>
  <c r="AT7" i="3"/>
  <c r="AU7" i="3"/>
  <c r="AT8" i="3"/>
  <c r="AU8" i="3"/>
  <c r="AT9" i="3"/>
  <c r="AU9" i="3"/>
  <c r="AT10" i="3"/>
  <c r="AU10" i="3"/>
  <c r="AT11" i="3"/>
  <c r="AU11" i="3"/>
  <c r="AT12" i="3"/>
  <c r="AU12" i="3"/>
  <c r="AT13" i="3"/>
  <c r="AU13" i="3"/>
  <c r="AT14" i="3"/>
  <c r="AU14" i="3"/>
  <c r="AT15" i="3"/>
  <c r="AU15" i="3"/>
  <c r="AT16" i="3"/>
  <c r="AU16" i="3"/>
  <c r="AT17" i="3"/>
  <c r="AU17" i="3"/>
  <c r="AT18" i="3"/>
  <c r="AU18" i="3"/>
  <c r="AT19" i="3"/>
  <c r="AU19" i="3"/>
  <c r="AT20" i="3"/>
  <c r="AU20" i="3"/>
  <c r="AT21" i="3"/>
  <c r="AU21" i="3"/>
  <c r="AT22" i="3"/>
  <c r="AU22" i="3"/>
  <c r="AT23" i="3"/>
  <c r="AU23" i="3"/>
  <c r="AT24" i="3"/>
  <c r="AU24" i="3"/>
  <c r="AT25" i="3"/>
  <c r="AU25" i="3"/>
  <c r="AT26" i="3"/>
  <c r="AU26" i="3"/>
  <c r="AT27" i="3"/>
  <c r="AU27" i="3"/>
  <c r="AT28" i="3"/>
  <c r="AU28" i="3"/>
  <c r="AT29" i="3"/>
  <c r="AU29" i="3"/>
  <c r="AT30" i="3"/>
  <c r="AU30" i="3"/>
  <c r="AT31" i="3"/>
  <c r="AU31" i="3"/>
  <c r="AT32" i="3"/>
  <c r="AU32" i="3"/>
  <c r="AT33" i="3"/>
  <c r="AU33" i="3"/>
  <c r="AT34" i="3"/>
  <c r="AU34" i="3"/>
  <c r="AT35" i="3"/>
  <c r="AU35" i="3"/>
  <c r="AT36" i="3"/>
  <c r="AU36" i="3"/>
  <c r="AT37" i="3"/>
  <c r="AU37" i="3"/>
  <c r="AT38" i="3"/>
  <c r="AU38" i="3"/>
  <c r="AT39" i="3"/>
  <c r="AU39" i="3"/>
  <c r="AT40" i="3"/>
  <c r="AU40" i="3"/>
  <c r="AT41" i="3"/>
  <c r="AU41" i="3"/>
  <c r="AT42" i="3"/>
  <c r="AU42" i="3"/>
  <c r="AT43" i="3"/>
  <c r="AU43" i="3"/>
  <c r="AT44" i="3"/>
  <c r="AU44" i="3"/>
  <c r="AT45" i="3"/>
  <c r="AU45" i="3"/>
  <c r="AT46" i="3"/>
  <c r="AU46" i="3"/>
  <c r="AT47" i="3"/>
  <c r="AU47" i="3"/>
  <c r="AT48" i="3"/>
  <c r="AU48" i="3"/>
  <c r="AT49" i="3"/>
  <c r="AU49" i="3"/>
  <c r="AT50" i="3"/>
  <c r="AU50" i="3"/>
  <c r="AT51" i="3"/>
  <c r="AU51" i="3"/>
  <c r="AT52" i="3"/>
  <c r="AU52" i="3"/>
  <c r="AT53" i="3"/>
  <c r="AU53" i="3"/>
  <c r="AT54" i="3"/>
  <c r="AU54" i="3"/>
  <c r="AT55" i="3"/>
  <c r="AU55" i="3"/>
  <c r="AT56" i="3"/>
  <c r="AU56" i="3"/>
  <c r="AT57" i="3"/>
  <c r="AU57" i="3"/>
  <c r="AT58" i="3"/>
  <c r="AU58" i="3"/>
  <c r="AT59" i="3"/>
  <c r="AU59" i="3"/>
  <c r="AT60" i="3"/>
  <c r="AU60" i="3"/>
  <c r="AT61" i="3"/>
  <c r="AU61" i="3"/>
  <c r="AT62" i="3"/>
  <c r="AU62" i="3"/>
  <c r="AT63" i="3"/>
  <c r="AU63" i="3"/>
  <c r="AT64" i="3"/>
  <c r="AU64" i="3"/>
  <c r="AT65" i="3"/>
  <c r="AU65" i="3"/>
  <c r="AT66" i="3"/>
  <c r="AU66" i="3"/>
  <c r="AT67" i="3"/>
  <c r="AU67" i="3"/>
  <c r="AT68" i="3"/>
  <c r="AU68" i="3"/>
  <c r="AT69" i="3"/>
  <c r="AU69" i="3"/>
  <c r="AT70" i="3"/>
  <c r="AU70" i="3"/>
  <c r="AT71" i="3"/>
  <c r="AU71" i="3"/>
  <c r="AT72" i="3"/>
  <c r="AU72" i="3"/>
  <c r="AT73" i="3"/>
  <c r="AU73" i="3"/>
  <c r="AT74" i="3"/>
  <c r="AU74" i="3"/>
  <c r="AT75" i="3"/>
  <c r="AU75" i="3"/>
  <c r="AT76" i="3"/>
  <c r="AU76" i="3"/>
  <c r="AT77" i="3"/>
  <c r="AU77" i="3"/>
  <c r="AT78" i="3"/>
  <c r="AU78" i="3"/>
  <c r="AT79" i="3"/>
  <c r="AU79" i="3"/>
  <c r="AT80" i="3"/>
  <c r="AU80" i="3"/>
  <c r="AT81" i="3"/>
  <c r="AU81" i="3"/>
  <c r="AT82" i="3"/>
  <c r="AU82" i="3"/>
  <c r="AT83" i="3"/>
  <c r="AU83" i="3"/>
  <c r="AT84" i="3"/>
  <c r="AU84" i="3"/>
  <c r="AT85" i="3"/>
  <c r="AU85" i="3"/>
  <c r="AT86" i="3"/>
  <c r="AU86" i="3"/>
  <c r="AT87" i="3"/>
  <c r="AU87" i="3"/>
  <c r="AT88" i="3"/>
  <c r="AU88" i="3"/>
  <c r="AT89" i="3"/>
  <c r="AU89" i="3"/>
  <c r="AT90" i="3"/>
  <c r="AU90" i="3"/>
  <c r="AT91" i="3"/>
  <c r="AU91" i="3"/>
  <c r="AT92" i="3"/>
  <c r="AU92" i="3"/>
  <c r="AT93" i="3"/>
  <c r="AU93" i="3"/>
  <c r="AT94" i="3"/>
  <c r="AU94" i="3"/>
  <c r="AT95" i="3"/>
  <c r="AU95" i="3"/>
  <c r="AT96" i="3"/>
  <c r="AU96" i="3"/>
  <c r="AT97" i="3"/>
  <c r="AU97" i="3"/>
  <c r="AT98" i="3"/>
  <c r="AU98" i="3"/>
  <c r="AT99" i="3"/>
  <c r="AU99" i="3"/>
  <c r="AT100" i="3"/>
  <c r="AU100" i="3"/>
  <c r="AT101" i="3"/>
  <c r="AU101" i="3"/>
  <c r="AT102" i="3"/>
  <c r="AU102" i="3"/>
  <c r="AT103" i="3"/>
  <c r="AU103" i="3"/>
  <c r="AT104" i="3"/>
  <c r="AU104" i="3"/>
  <c r="AT105" i="3"/>
  <c r="AU105" i="3"/>
  <c r="AT106" i="3"/>
  <c r="AU106" i="3"/>
  <c r="AT107" i="3"/>
  <c r="AU107" i="3"/>
  <c r="AT108" i="3"/>
  <c r="AU108" i="3"/>
  <c r="AT109" i="3"/>
  <c r="AU109" i="3"/>
  <c r="AT110" i="3"/>
  <c r="AU110" i="3"/>
  <c r="AT111" i="3"/>
  <c r="AU111" i="3"/>
  <c r="AT112" i="3"/>
  <c r="AU112" i="3"/>
  <c r="AT113" i="3"/>
  <c r="AU113" i="3"/>
  <c r="AT114" i="3"/>
  <c r="AU114" i="3"/>
  <c r="AT115" i="3"/>
  <c r="AU115" i="3"/>
  <c r="AT116" i="3"/>
  <c r="AU116" i="3"/>
  <c r="AT117" i="3"/>
  <c r="AU117" i="3"/>
  <c r="AT118" i="3"/>
  <c r="AU118" i="3"/>
  <c r="AT119" i="3"/>
  <c r="AU119" i="3"/>
  <c r="AT120" i="3"/>
  <c r="AU120" i="3"/>
  <c r="AT121" i="3"/>
  <c r="AU121" i="3"/>
  <c r="AT122" i="3"/>
  <c r="AU122" i="3"/>
  <c r="AT123" i="3"/>
  <c r="AU123" i="3"/>
  <c r="AT124" i="3"/>
  <c r="AU124" i="3"/>
  <c r="AT125" i="3"/>
  <c r="AU125" i="3"/>
  <c r="AT126" i="3"/>
  <c r="AU126" i="3"/>
  <c r="AT127" i="3"/>
  <c r="AU127" i="3"/>
  <c r="AT128" i="3"/>
  <c r="AU128" i="3"/>
  <c r="AT129" i="3"/>
  <c r="AU129" i="3"/>
  <c r="AT130" i="3"/>
  <c r="AU130" i="3"/>
  <c r="AT131" i="3"/>
  <c r="AU131" i="3"/>
  <c r="AT132" i="3"/>
  <c r="AU132" i="3"/>
  <c r="AT133" i="3"/>
  <c r="AU133" i="3"/>
  <c r="AT134" i="3"/>
  <c r="AU134" i="3"/>
  <c r="AT135" i="3"/>
  <c r="AU135" i="3"/>
  <c r="AT136" i="3"/>
  <c r="AU136" i="3"/>
  <c r="AT137" i="3"/>
  <c r="AU137" i="3"/>
  <c r="AT138" i="3"/>
  <c r="AU138" i="3"/>
  <c r="AT139" i="3"/>
  <c r="AU139" i="3"/>
  <c r="AT140" i="3"/>
  <c r="AU140" i="3"/>
  <c r="AT141" i="3"/>
  <c r="AU141" i="3"/>
  <c r="AT142" i="3"/>
  <c r="AU142" i="3"/>
  <c r="AT143" i="3"/>
  <c r="AU143" i="3"/>
  <c r="AT144" i="3"/>
  <c r="AU144" i="3"/>
  <c r="AT145" i="3"/>
  <c r="AU145" i="3"/>
  <c r="AT146" i="3"/>
  <c r="AU146" i="3"/>
  <c r="AT147" i="3"/>
  <c r="AU147" i="3"/>
  <c r="AT148" i="3"/>
  <c r="AU148" i="3"/>
  <c r="AT149" i="3"/>
  <c r="AU149" i="3"/>
  <c r="AT150" i="3"/>
  <c r="AU150" i="3"/>
  <c r="AT151" i="3"/>
  <c r="AU151" i="3"/>
  <c r="AT152" i="3"/>
  <c r="AU152" i="3"/>
  <c r="AT153" i="3"/>
  <c r="AU153" i="3"/>
  <c r="AT154" i="3"/>
  <c r="AU154" i="3"/>
  <c r="AT155" i="3"/>
  <c r="AU155" i="3"/>
  <c r="AT156" i="3"/>
  <c r="AU156" i="3"/>
  <c r="AT157" i="3"/>
  <c r="AU157" i="3"/>
  <c r="AT158" i="3"/>
  <c r="AU158" i="3"/>
  <c r="AT159" i="3"/>
  <c r="AU159" i="3"/>
  <c r="AT160" i="3"/>
  <c r="AU160" i="3"/>
  <c r="AT161" i="3"/>
  <c r="AU161" i="3"/>
  <c r="AT162" i="3"/>
  <c r="AU162" i="3"/>
  <c r="AT163" i="3"/>
  <c r="AU163" i="3"/>
  <c r="AT164" i="3"/>
  <c r="AU164" i="3"/>
  <c r="AT165" i="3"/>
  <c r="AU165" i="3"/>
  <c r="AT166" i="3"/>
  <c r="AU166" i="3"/>
  <c r="AT167" i="3"/>
  <c r="AU167" i="3"/>
  <c r="AT168" i="3"/>
  <c r="AU168" i="3"/>
  <c r="AT169" i="3"/>
  <c r="AU169" i="3"/>
  <c r="AT170" i="3"/>
  <c r="AU170" i="3"/>
  <c r="AT171" i="3"/>
  <c r="AU171" i="3"/>
  <c r="AT172" i="3"/>
  <c r="AU172" i="3"/>
  <c r="AT173" i="3"/>
  <c r="AU173" i="3"/>
  <c r="AT174" i="3"/>
  <c r="AU174" i="3"/>
  <c r="AT175" i="3"/>
  <c r="AU175" i="3"/>
  <c r="AT176" i="3"/>
  <c r="AU176" i="3"/>
  <c r="AT177" i="3"/>
  <c r="AU177" i="3"/>
  <c r="AT178" i="3"/>
  <c r="AU178" i="3"/>
  <c r="AT179" i="3"/>
  <c r="AU179" i="3"/>
  <c r="AT180" i="3"/>
  <c r="AU180" i="3"/>
  <c r="AT181" i="3"/>
  <c r="AU181" i="3"/>
  <c r="AT182" i="3"/>
  <c r="AU182" i="3"/>
  <c r="AT183" i="3"/>
  <c r="AU183" i="3"/>
  <c r="AT184" i="3"/>
  <c r="AU184" i="3"/>
  <c r="AT185" i="3"/>
  <c r="AU185" i="3"/>
  <c r="AT186" i="3"/>
  <c r="AU186" i="3"/>
  <c r="AT187" i="3"/>
  <c r="AU187" i="3"/>
  <c r="AT188" i="3"/>
  <c r="AU188" i="3"/>
  <c r="AT189" i="3"/>
  <c r="AU189" i="3"/>
  <c r="AT190" i="3"/>
  <c r="AU190" i="3"/>
  <c r="AT191" i="3"/>
  <c r="AU191" i="3"/>
  <c r="AT192" i="3"/>
  <c r="AU192" i="3"/>
  <c r="AT193" i="3"/>
  <c r="AU193" i="3"/>
  <c r="AT194" i="3"/>
  <c r="AU194" i="3"/>
  <c r="AT195" i="3"/>
  <c r="AU195" i="3"/>
  <c r="AT196" i="3"/>
  <c r="AU196" i="3"/>
  <c r="AT197" i="3"/>
  <c r="AU197" i="3"/>
  <c r="AT198" i="3"/>
  <c r="AU198" i="3"/>
  <c r="AT199" i="3"/>
  <c r="AU199" i="3"/>
  <c r="AT200" i="3"/>
  <c r="AU200" i="3"/>
  <c r="AT201" i="3"/>
  <c r="AU201" i="3"/>
  <c r="AT202" i="3"/>
  <c r="AU202" i="3"/>
  <c r="AT203" i="3"/>
  <c r="AU203" i="3"/>
  <c r="AT204" i="3"/>
  <c r="AU204" i="3"/>
  <c r="AT205" i="3"/>
  <c r="AU205" i="3"/>
  <c r="AT206" i="3"/>
  <c r="AU206" i="3"/>
  <c r="AT207" i="3"/>
  <c r="AU207" i="3"/>
  <c r="AT208" i="3"/>
  <c r="AU208" i="3"/>
  <c r="AT209" i="3"/>
  <c r="AU209" i="3"/>
  <c r="AT210" i="3"/>
  <c r="AU210" i="3"/>
  <c r="AT211" i="3"/>
  <c r="AU211" i="3"/>
  <c r="AT212" i="3"/>
  <c r="AU212" i="3"/>
  <c r="AU2" i="3"/>
  <c r="AT2" i="3"/>
  <c r="AQ3" i="3"/>
  <c r="AR3" i="3"/>
  <c r="AQ4" i="3"/>
  <c r="AR4" i="3"/>
  <c r="AQ5" i="3"/>
  <c r="AR5" i="3"/>
  <c r="AQ6" i="3"/>
  <c r="AR6" i="3"/>
  <c r="AQ7" i="3"/>
  <c r="AR7" i="3"/>
  <c r="AQ8" i="3"/>
  <c r="AR8" i="3"/>
  <c r="AQ9" i="3"/>
  <c r="AR9" i="3"/>
  <c r="AQ10" i="3"/>
  <c r="AR10" i="3"/>
  <c r="AQ11" i="3"/>
  <c r="AR11" i="3"/>
  <c r="AQ12" i="3"/>
  <c r="AR12" i="3"/>
  <c r="AQ13" i="3"/>
  <c r="AR13" i="3"/>
  <c r="AQ14" i="3"/>
  <c r="AR14" i="3"/>
  <c r="AQ15" i="3"/>
  <c r="AR15" i="3"/>
  <c r="AQ16" i="3"/>
  <c r="AR16" i="3"/>
  <c r="AQ17" i="3"/>
  <c r="AR17" i="3"/>
  <c r="AQ18" i="3"/>
  <c r="AR18" i="3"/>
  <c r="AQ19" i="3"/>
  <c r="AR19" i="3"/>
  <c r="AQ20" i="3"/>
  <c r="AR20" i="3"/>
  <c r="AQ21" i="3"/>
  <c r="AR21" i="3"/>
  <c r="AQ22" i="3"/>
  <c r="AR22" i="3"/>
  <c r="AQ23" i="3"/>
  <c r="AR23" i="3"/>
  <c r="AQ24" i="3"/>
  <c r="AR24" i="3"/>
  <c r="AQ25" i="3"/>
  <c r="AR25" i="3"/>
  <c r="AQ26" i="3"/>
  <c r="AR26" i="3"/>
  <c r="AQ27" i="3"/>
  <c r="AR27" i="3"/>
  <c r="AQ28" i="3"/>
  <c r="AR28" i="3"/>
  <c r="AQ29" i="3"/>
  <c r="AR29" i="3"/>
  <c r="AQ30" i="3"/>
  <c r="AR30" i="3"/>
  <c r="AQ31" i="3"/>
  <c r="AR31" i="3"/>
  <c r="AQ32" i="3"/>
  <c r="AR32" i="3"/>
  <c r="AQ33" i="3"/>
  <c r="AR33" i="3"/>
  <c r="AQ34" i="3"/>
  <c r="AR34" i="3"/>
  <c r="AQ35" i="3"/>
  <c r="AR35" i="3"/>
  <c r="AQ36" i="3"/>
  <c r="AR36" i="3"/>
  <c r="AQ37" i="3"/>
  <c r="AR37" i="3"/>
  <c r="AQ38" i="3"/>
  <c r="AR38" i="3"/>
  <c r="AQ39" i="3"/>
  <c r="AR39" i="3"/>
  <c r="AQ40" i="3"/>
  <c r="AR40" i="3"/>
  <c r="AQ41" i="3"/>
  <c r="AR41" i="3"/>
  <c r="AQ42" i="3"/>
  <c r="AR42" i="3"/>
  <c r="AQ43" i="3"/>
  <c r="AR43" i="3"/>
  <c r="AQ44" i="3"/>
  <c r="AR44" i="3"/>
  <c r="AQ45" i="3"/>
  <c r="AR45" i="3"/>
  <c r="AQ46" i="3"/>
  <c r="AR46" i="3"/>
  <c r="AQ47" i="3"/>
  <c r="AR47" i="3"/>
  <c r="AQ48" i="3"/>
  <c r="AR48" i="3"/>
  <c r="AQ49" i="3"/>
  <c r="AR49" i="3"/>
  <c r="AQ50" i="3"/>
  <c r="AR50" i="3"/>
  <c r="AQ51" i="3"/>
  <c r="AR51" i="3"/>
  <c r="AQ52" i="3"/>
  <c r="AR52" i="3"/>
  <c r="AQ53" i="3"/>
  <c r="AR53" i="3"/>
  <c r="AQ54" i="3"/>
  <c r="AR54" i="3"/>
  <c r="AQ55" i="3"/>
  <c r="AR55" i="3"/>
  <c r="AQ56" i="3"/>
  <c r="AR56" i="3"/>
  <c r="AQ57" i="3"/>
  <c r="AR57" i="3"/>
  <c r="AQ58" i="3"/>
  <c r="AR58" i="3"/>
  <c r="AQ59" i="3"/>
  <c r="AR59" i="3"/>
  <c r="AQ60" i="3"/>
  <c r="AR60" i="3"/>
  <c r="AQ61" i="3"/>
  <c r="AR61" i="3"/>
  <c r="AQ62" i="3"/>
  <c r="AR62" i="3"/>
  <c r="AQ63" i="3"/>
  <c r="AR63" i="3"/>
  <c r="AQ64" i="3"/>
  <c r="AR64" i="3"/>
  <c r="AQ65" i="3"/>
  <c r="AR65" i="3"/>
  <c r="AQ66" i="3"/>
  <c r="AR66" i="3"/>
  <c r="AQ67" i="3"/>
  <c r="AR67" i="3"/>
  <c r="AQ68" i="3"/>
  <c r="AR68" i="3"/>
  <c r="AQ69" i="3"/>
  <c r="AR69" i="3"/>
  <c r="AQ70" i="3"/>
  <c r="AR70" i="3"/>
  <c r="AQ71" i="3"/>
  <c r="AR71" i="3"/>
  <c r="AQ72" i="3"/>
  <c r="AR72" i="3"/>
  <c r="AQ73" i="3"/>
  <c r="AR73" i="3"/>
  <c r="AQ74" i="3"/>
  <c r="AR74" i="3"/>
  <c r="AQ75" i="3"/>
  <c r="AR75" i="3"/>
  <c r="AQ76" i="3"/>
  <c r="AR76" i="3"/>
  <c r="AQ77" i="3"/>
  <c r="AR77" i="3"/>
  <c r="AQ78" i="3"/>
  <c r="AR78" i="3"/>
  <c r="AQ79" i="3"/>
  <c r="AR79" i="3"/>
  <c r="AQ80" i="3"/>
  <c r="AR80" i="3"/>
  <c r="AQ81" i="3"/>
  <c r="AR81" i="3"/>
  <c r="AQ82" i="3"/>
  <c r="AR82" i="3"/>
  <c r="AQ83" i="3"/>
  <c r="AR83" i="3"/>
  <c r="AQ84" i="3"/>
  <c r="AR84" i="3"/>
  <c r="AQ85" i="3"/>
  <c r="AR85" i="3"/>
  <c r="AQ86" i="3"/>
  <c r="AR86" i="3"/>
  <c r="AQ87" i="3"/>
  <c r="AR87" i="3"/>
  <c r="AQ88" i="3"/>
  <c r="AR88" i="3"/>
  <c r="AQ89" i="3"/>
  <c r="AR89" i="3"/>
  <c r="AQ90" i="3"/>
  <c r="AR90" i="3"/>
  <c r="AQ91" i="3"/>
  <c r="AR91" i="3"/>
  <c r="AQ92" i="3"/>
  <c r="AR92" i="3"/>
  <c r="AQ93" i="3"/>
  <c r="AR93" i="3"/>
  <c r="AQ94" i="3"/>
  <c r="AR94" i="3"/>
  <c r="AQ95" i="3"/>
  <c r="AR95" i="3"/>
  <c r="AQ96" i="3"/>
  <c r="AR96" i="3"/>
  <c r="AQ97" i="3"/>
  <c r="AR97" i="3"/>
  <c r="AQ98" i="3"/>
  <c r="AR98" i="3"/>
  <c r="AQ99" i="3"/>
  <c r="AR99" i="3"/>
  <c r="AQ100" i="3"/>
  <c r="AR100" i="3"/>
  <c r="AQ101" i="3"/>
  <c r="AR101" i="3"/>
  <c r="AQ102" i="3"/>
  <c r="AR102" i="3"/>
  <c r="AQ103" i="3"/>
  <c r="AR103" i="3"/>
  <c r="AQ104" i="3"/>
  <c r="AR104" i="3"/>
  <c r="AQ105" i="3"/>
  <c r="AR105" i="3"/>
  <c r="AQ106" i="3"/>
  <c r="AR106" i="3"/>
  <c r="AQ107" i="3"/>
  <c r="AR107" i="3"/>
  <c r="AQ108" i="3"/>
  <c r="AR108" i="3"/>
  <c r="AQ109" i="3"/>
  <c r="AR109" i="3"/>
  <c r="AQ110" i="3"/>
  <c r="AR110" i="3"/>
  <c r="AQ111" i="3"/>
  <c r="AR111" i="3"/>
  <c r="AQ112" i="3"/>
  <c r="AR112" i="3"/>
  <c r="AQ113" i="3"/>
  <c r="AR113" i="3"/>
  <c r="AQ114" i="3"/>
  <c r="AR114" i="3"/>
  <c r="AQ115" i="3"/>
  <c r="AR115" i="3"/>
  <c r="AQ116" i="3"/>
  <c r="AR116" i="3"/>
  <c r="AQ117" i="3"/>
  <c r="AR117" i="3"/>
  <c r="AQ118" i="3"/>
  <c r="AR118" i="3"/>
  <c r="AQ119" i="3"/>
  <c r="AR119" i="3"/>
  <c r="AQ120" i="3"/>
  <c r="AR120" i="3"/>
  <c r="AQ121" i="3"/>
  <c r="AR121" i="3"/>
  <c r="AQ122" i="3"/>
  <c r="AR122" i="3"/>
  <c r="AQ123" i="3"/>
  <c r="AR123" i="3"/>
  <c r="AQ124" i="3"/>
  <c r="AR124" i="3"/>
  <c r="AQ125" i="3"/>
  <c r="AR125" i="3"/>
  <c r="AQ126" i="3"/>
  <c r="AR126" i="3"/>
  <c r="AQ127" i="3"/>
  <c r="AR127" i="3"/>
  <c r="AQ128" i="3"/>
  <c r="AR128" i="3"/>
  <c r="AQ129" i="3"/>
  <c r="AR129" i="3"/>
  <c r="AQ130" i="3"/>
  <c r="AR130" i="3"/>
  <c r="AQ131" i="3"/>
  <c r="AR131" i="3"/>
  <c r="AQ132" i="3"/>
  <c r="AR132" i="3"/>
  <c r="AQ133" i="3"/>
  <c r="AR133" i="3"/>
  <c r="AQ134" i="3"/>
  <c r="AR134" i="3"/>
  <c r="AQ135" i="3"/>
  <c r="AR135" i="3"/>
  <c r="AQ136" i="3"/>
  <c r="AR136" i="3"/>
  <c r="AQ137" i="3"/>
  <c r="AR137" i="3"/>
  <c r="AQ138" i="3"/>
  <c r="AR138" i="3"/>
  <c r="AQ139" i="3"/>
  <c r="AR139" i="3"/>
  <c r="AQ140" i="3"/>
  <c r="AR140" i="3"/>
  <c r="AQ141" i="3"/>
  <c r="AR141" i="3"/>
  <c r="AQ142" i="3"/>
  <c r="AR142" i="3"/>
  <c r="AQ143" i="3"/>
  <c r="AR143" i="3"/>
  <c r="AQ144" i="3"/>
  <c r="AR144" i="3"/>
  <c r="AQ145" i="3"/>
  <c r="AR145" i="3"/>
  <c r="AQ146" i="3"/>
  <c r="AR146" i="3"/>
  <c r="AQ147" i="3"/>
  <c r="AR147" i="3"/>
  <c r="AQ148" i="3"/>
  <c r="AR148" i="3"/>
  <c r="AQ149" i="3"/>
  <c r="AR149" i="3"/>
  <c r="AQ150" i="3"/>
  <c r="AR150" i="3"/>
  <c r="AQ151" i="3"/>
  <c r="AR151" i="3"/>
  <c r="AQ152" i="3"/>
  <c r="AR152" i="3"/>
  <c r="AQ153" i="3"/>
  <c r="AR153" i="3"/>
  <c r="AQ154" i="3"/>
  <c r="AR154" i="3"/>
  <c r="AQ155" i="3"/>
  <c r="AR155" i="3"/>
  <c r="AQ156" i="3"/>
  <c r="AR156" i="3"/>
  <c r="AQ157" i="3"/>
  <c r="AR157" i="3"/>
  <c r="AQ158" i="3"/>
  <c r="AR158" i="3"/>
  <c r="AQ159" i="3"/>
  <c r="AR159" i="3"/>
  <c r="AQ160" i="3"/>
  <c r="AR160" i="3"/>
  <c r="AQ161" i="3"/>
  <c r="AR161" i="3"/>
  <c r="AQ162" i="3"/>
  <c r="AR162" i="3"/>
  <c r="AQ163" i="3"/>
  <c r="AR163" i="3"/>
  <c r="AQ164" i="3"/>
  <c r="AR164" i="3"/>
  <c r="AQ165" i="3"/>
  <c r="AR165" i="3"/>
  <c r="AQ166" i="3"/>
  <c r="AR166" i="3"/>
  <c r="AQ167" i="3"/>
  <c r="AR167" i="3"/>
  <c r="AQ168" i="3"/>
  <c r="AR168" i="3"/>
  <c r="AQ169" i="3"/>
  <c r="AR169" i="3"/>
  <c r="AQ170" i="3"/>
  <c r="AR170" i="3"/>
  <c r="AQ171" i="3"/>
  <c r="AR171" i="3"/>
  <c r="AQ172" i="3"/>
  <c r="AR172" i="3"/>
  <c r="AQ173" i="3"/>
  <c r="AR173" i="3"/>
  <c r="AQ174" i="3"/>
  <c r="AR174" i="3"/>
  <c r="AQ175" i="3"/>
  <c r="AR175" i="3"/>
  <c r="AQ176" i="3"/>
  <c r="AR176" i="3"/>
  <c r="AQ177" i="3"/>
  <c r="AR177" i="3"/>
  <c r="AQ178" i="3"/>
  <c r="AR178" i="3"/>
  <c r="AQ179" i="3"/>
  <c r="AR179" i="3"/>
  <c r="AQ180" i="3"/>
  <c r="AR180" i="3"/>
  <c r="AQ181" i="3"/>
  <c r="AR181" i="3"/>
  <c r="AQ182" i="3"/>
  <c r="AR182" i="3"/>
  <c r="AQ183" i="3"/>
  <c r="AR183" i="3"/>
  <c r="AQ184" i="3"/>
  <c r="AR184" i="3"/>
  <c r="AQ185" i="3"/>
  <c r="AR185" i="3"/>
  <c r="AQ186" i="3"/>
  <c r="AR186" i="3"/>
  <c r="AQ187" i="3"/>
  <c r="AR187" i="3"/>
  <c r="AQ188" i="3"/>
  <c r="AR188" i="3"/>
  <c r="AQ189" i="3"/>
  <c r="AR189" i="3"/>
  <c r="AQ190" i="3"/>
  <c r="AR190" i="3"/>
  <c r="AQ191" i="3"/>
  <c r="AR191" i="3"/>
  <c r="AQ192" i="3"/>
  <c r="AR192" i="3"/>
  <c r="AQ193" i="3"/>
  <c r="AR193" i="3"/>
  <c r="AQ194" i="3"/>
  <c r="AR194" i="3"/>
  <c r="AQ195" i="3"/>
  <c r="AR195" i="3"/>
  <c r="AQ196" i="3"/>
  <c r="AR196" i="3"/>
  <c r="AQ197" i="3"/>
  <c r="AR197" i="3"/>
  <c r="AQ198" i="3"/>
  <c r="AR198" i="3"/>
  <c r="AQ199" i="3"/>
  <c r="AR199" i="3"/>
  <c r="AQ200" i="3"/>
  <c r="AR200" i="3"/>
  <c r="AQ201" i="3"/>
  <c r="AR201" i="3"/>
  <c r="AQ202" i="3"/>
  <c r="AR202" i="3"/>
  <c r="AQ203" i="3"/>
  <c r="AR203" i="3"/>
  <c r="AQ204" i="3"/>
  <c r="AR204" i="3"/>
  <c r="AQ205" i="3"/>
  <c r="AR205" i="3"/>
  <c r="AQ206" i="3"/>
  <c r="AR206" i="3"/>
  <c r="AQ207" i="3"/>
  <c r="AR207" i="3"/>
  <c r="AQ208" i="3"/>
  <c r="AR208" i="3"/>
  <c r="AQ209" i="3"/>
  <c r="AR209" i="3"/>
  <c r="AQ210" i="3"/>
  <c r="AR210" i="3"/>
  <c r="AQ211" i="3"/>
  <c r="AR211" i="3"/>
  <c r="AQ212" i="3"/>
  <c r="AR212" i="3"/>
  <c r="AR2" i="3"/>
  <c r="AQ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" i="3"/>
  <c r="AG3" i="3"/>
  <c r="AH3" i="3"/>
  <c r="AG4" i="3"/>
  <c r="AH4" i="3"/>
  <c r="AG5" i="3"/>
  <c r="AH5" i="3"/>
  <c r="AG6" i="3"/>
  <c r="AH6" i="3"/>
  <c r="AG7" i="3"/>
  <c r="AH7" i="3"/>
  <c r="AG8" i="3"/>
  <c r="AH8" i="3"/>
  <c r="AG9" i="3"/>
  <c r="AH9" i="3"/>
  <c r="AG10" i="3"/>
  <c r="AH10" i="3"/>
  <c r="AG11" i="3"/>
  <c r="AH11" i="3"/>
  <c r="AG12" i="3"/>
  <c r="AH12" i="3"/>
  <c r="AG13" i="3"/>
  <c r="AH13" i="3"/>
  <c r="AG14" i="3"/>
  <c r="AH14" i="3"/>
  <c r="AG15" i="3"/>
  <c r="AH15" i="3"/>
  <c r="AG16" i="3"/>
  <c r="AH16" i="3"/>
  <c r="AG17" i="3"/>
  <c r="AH17" i="3"/>
  <c r="AG18" i="3"/>
  <c r="AH18" i="3"/>
  <c r="AG19" i="3"/>
  <c r="AH19" i="3"/>
  <c r="AG20" i="3"/>
  <c r="AH20" i="3"/>
  <c r="AG21" i="3"/>
  <c r="AH21" i="3"/>
  <c r="AG22" i="3"/>
  <c r="AH22" i="3"/>
  <c r="AG23" i="3"/>
  <c r="AH23" i="3"/>
  <c r="AG24" i="3"/>
  <c r="AH24" i="3"/>
  <c r="AG25" i="3"/>
  <c r="AH25" i="3"/>
  <c r="AG26" i="3"/>
  <c r="AH26" i="3"/>
  <c r="AG27" i="3"/>
  <c r="AH27" i="3"/>
  <c r="AG28" i="3"/>
  <c r="AH28" i="3"/>
  <c r="AG29" i="3"/>
  <c r="AH29" i="3"/>
  <c r="AG30" i="3"/>
  <c r="AH30" i="3"/>
  <c r="AG31" i="3"/>
  <c r="AH31" i="3"/>
  <c r="AG32" i="3"/>
  <c r="AH32" i="3"/>
  <c r="AG33" i="3"/>
  <c r="AH33" i="3"/>
  <c r="AG34" i="3"/>
  <c r="AH34" i="3"/>
  <c r="AG35" i="3"/>
  <c r="AH35" i="3"/>
  <c r="AG36" i="3"/>
  <c r="AH36" i="3"/>
  <c r="AG37" i="3"/>
  <c r="AH37" i="3"/>
  <c r="AG38" i="3"/>
  <c r="AH38" i="3"/>
  <c r="AG39" i="3"/>
  <c r="AH39" i="3"/>
  <c r="AG40" i="3"/>
  <c r="AH40" i="3"/>
  <c r="AG41" i="3"/>
  <c r="AH41" i="3"/>
  <c r="AG42" i="3"/>
  <c r="AH42" i="3"/>
  <c r="AG43" i="3"/>
  <c r="AH43" i="3"/>
  <c r="AG44" i="3"/>
  <c r="AH44" i="3"/>
  <c r="AG45" i="3"/>
  <c r="AH45" i="3"/>
  <c r="AG46" i="3"/>
  <c r="AH46" i="3"/>
  <c r="AG47" i="3"/>
  <c r="AH47" i="3"/>
  <c r="AG48" i="3"/>
  <c r="AH48" i="3"/>
  <c r="AG49" i="3"/>
  <c r="AH49" i="3"/>
  <c r="AG50" i="3"/>
  <c r="AH50" i="3"/>
  <c r="AG51" i="3"/>
  <c r="AH51" i="3"/>
  <c r="AG52" i="3"/>
  <c r="AH52" i="3"/>
  <c r="AG53" i="3"/>
  <c r="AH53" i="3"/>
  <c r="AG54" i="3"/>
  <c r="AH54" i="3"/>
  <c r="AG55" i="3"/>
  <c r="AH55" i="3"/>
  <c r="AG56" i="3"/>
  <c r="AH56" i="3"/>
  <c r="AG57" i="3"/>
  <c r="AH57" i="3"/>
  <c r="AG58" i="3"/>
  <c r="AH58" i="3"/>
  <c r="AG59" i="3"/>
  <c r="AH59" i="3"/>
  <c r="AG60" i="3"/>
  <c r="AH60" i="3"/>
  <c r="AG61" i="3"/>
  <c r="AH61" i="3"/>
  <c r="AG62" i="3"/>
  <c r="AH62" i="3"/>
  <c r="AG63" i="3"/>
  <c r="AH63" i="3"/>
  <c r="AG64" i="3"/>
  <c r="AH64" i="3"/>
  <c r="AG65" i="3"/>
  <c r="AH65" i="3"/>
  <c r="AG66" i="3"/>
  <c r="AH66" i="3"/>
  <c r="AG67" i="3"/>
  <c r="AH67" i="3"/>
  <c r="AG68" i="3"/>
  <c r="AH68" i="3"/>
  <c r="AG69" i="3"/>
  <c r="AH69" i="3"/>
  <c r="AG70" i="3"/>
  <c r="AH70" i="3"/>
  <c r="AG71" i="3"/>
  <c r="AH71" i="3"/>
  <c r="AG72" i="3"/>
  <c r="AH72" i="3"/>
  <c r="AG73" i="3"/>
  <c r="AH73" i="3"/>
  <c r="AG74" i="3"/>
  <c r="AH74" i="3"/>
  <c r="AG75" i="3"/>
  <c r="AH75" i="3"/>
  <c r="AG76" i="3"/>
  <c r="AH76" i="3"/>
  <c r="AG77" i="3"/>
  <c r="AH77" i="3"/>
  <c r="AG78" i="3"/>
  <c r="AH78" i="3"/>
  <c r="AG79" i="3"/>
  <c r="AH79" i="3"/>
  <c r="AG80" i="3"/>
  <c r="AH80" i="3"/>
  <c r="AG81" i="3"/>
  <c r="AH81" i="3"/>
  <c r="AG82" i="3"/>
  <c r="AH82" i="3"/>
  <c r="AG83" i="3"/>
  <c r="AH83" i="3"/>
  <c r="AG84" i="3"/>
  <c r="AH84" i="3"/>
  <c r="AG85" i="3"/>
  <c r="AH85" i="3"/>
  <c r="AG86" i="3"/>
  <c r="AH86" i="3"/>
  <c r="AG87" i="3"/>
  <c r="AH87" i="3"/>
  <c r="AG88" i="3"/>
  <c r="AH88" i="3"/>
  <c r="AG89" i="3"/>
  <c r="AH89" i="3"/>
  <c r="AG90" i="3"/>
  <c r="AH90" i="3"/>
  <c r="AG91" i="3"/>
  <c r="AH91" i="3"/>
  <c r="AG92" i="3"/>
  <c r="AH92" i="3"/>
  <c r="AG93" i="3"/>
  <c r="AH93" i="3"/>
  <c r="AG94" i="3"/>
  <c r="AH94" i="3"/>
  <c r="AG95" i="3"/>
  <c r="AH95" i="3"/>
  <c r="AG96" i="3"/>
  <c r="AH96" i="3"/>
  <c r="AG97" i="3"/>
  <c r="AH97" i="3"/>
  <c r="AG98" i="3"/>
  <c r="AH98" i="3"/>
  <c r="AG99" i="3"/>
  <c r="AH99" i="3"/>
  <c r="AG100" i="3"/>
  <c r="AH100" i="3"/>
  <c r="AG101" i="3"/>
  <c r="AH101" i="3"/>
  <c r="AG102" i="3"/>
  <c r="AH102" i="3"/>
  <c r="AG103" i="3"/>
  <c r="AH103" i="3"/>
  <c r="AG104" i="3"/>
  <c r="AH104" i="3"/>
  <c r="AG105" i="3"/>
  <c r="AH105" i="3"/>
  <c r="AG106" i="3"/>
  <c r="AH106" i="3"/>
  <c r="AG107" i="3"/>
  <c r="AH107" i="3"/>
  <c r="AG108" i="3"/>
  <c r="AH108" i="3"/>
  <c r="AG109" i="3"/>
  <c r="AH109" i="3"/>
  <c r="AG110" i="3"/>
  <c r="AH110" i="3"/>
  <c r="AG111" i="3"/>
  <c r="AH111" i="3"/>
  <c r="AG112" i="3"/>
  <c r="AH112" i="3"/>
  <c r="AG113" i="3"/>
  <c r="AH113" i="3"/>
  <c r="AG114" i="3"/>
  <c r="AH114" i="3"/>
  <c r="AG115" i="3"/>
  <c r="AH115" i="3"/>
  <c r="AG116" i="3"/>
  <c r="AH116" i="3"/>
  <c r="AG117" i="3"/>
  <c r="AH117" i="3"/>
  <c r="AG118" i="3"/>
  <c r="AH118" i="3"/>
  <c r="AG119" i="3"/>
  <c r="AH119" i="3"/>
  <c r="AG120" i="3"/>
  <c r="AH120" i="3"/>
  <c r="AG121" i="3"/>
  <c r="AH121" i="3"/>
  <c r="AG122" i="3"/>
  <c r="AH122" i="3"/>
  <c r="AG123" i="3"/>
  <c r="AH123" i="3"/>
  <c r="AG124" i="3"/>
  <c r="AH124" i="3"/>
  <c r="AG125" i="3"/>
  <c r="AH125" i="3"/>
  <c r="AG126" i="3"/>
  <c r="AH126" i="3"/>
  <c r="AG127" i="3"/>
  <c r="AH127" i="3"/>
  <c r="AG128" i="3"/>
  <c r="AH128" i="3"/>
  <c r="AG129" i="3"/>
  <c r="AH129" i="3"/>
  <c r="AG130" i="3"/>
  <c r="AH130" i="3"/>
  <c r="AG131" i="3"/>
  <c r="AH131" i="3"/>
  <c r="AG132" i="3"/>
  <c r="AH132" i="3"/>
  <c r="AG133" i="3"/>
  <c r="AH133" i="3"/>
  <c r="AG134" i="3"/>
  <c r="AH134" i="3"/>
  <c r="AG135" i="3"/>
  <c r="AH135" i="3"/>
  <c r="AG136" i="3"/>
  <c r="AH136" i="3"/>
  <c r="AG137" i="3"/>
  <c r="AH137" i="3"/>
  <c r="AG138" i="3"/>
  <c r="AH138" i="3"/>
  <c r="AG139" i="3"/>
  <c r="AH139" i="3"/>
  <c r="AG140" i="3"/>
  <c r="AH140" i="3"/>
  <c r="AG141" i="3"/>
  <c r="AH141" i="3"/>
  <c r="AG142" i="3"/>
  <c r="AH142" i="3"/>
  <c r="AG143" i="3"/>
  <c r="AH143" i="3"/>
  <c r="AG144" i="3"/>
  <c r="AH144" i="3"/>
  <c r="AG145" i="3"/>
  <c r="AH145" i="3"/>
  <c r="AG146" i="3"/>
  <c r="AH146" i="3"/>
  <c r="AG147" i="3"/>
  <c r="AH147" i="3"/>
  <c r="AG148" i="3"/>
  <c r="AH148" i="3"/>
  <c r="AG149" i="3"/>
  <c r="AH149" i="3"/>
  <c r="AG150" i="3"/>
  <c r="AH150" i="3"/>
  <c r="AG151" i="3"/>
  <c r="AH151" i="3"/>
  <c r="AG152" i="3"/>
  <c r="AH152" i="3"/>
  <c r="AG153" i="3"/>
  <c r="AH153" i="3"/>
  <c r="AG154" i="3"/>
  <c r="AH154" i="3"/>
  <c r="AG155" i="3"/>
  <c r="AH155" i="3"/>
  <c r="AG156" i="3"/>
  <c r="AH156" i="3"/>
  <c r="AG157" i="3"/>
  <c r="AH157" i="3"/>
  <c r="AG158" i="3"/>
  <c r="AH158" i="3"/>
  <c r="AG159" i="3"/>
  <c r="AH159" i="3"/>
  <c r="AG160" i="3"/>
  <c r="AH160" i="3"/>
  <c r="AG161" i="3"/>
  <c r="AH161" i="3"/>
  <c r="AG162" i="3"/>
  <c r="AH162" i="3"/>
  <c r="AG163" i="3"/>
  <c r="AH163" i="3"/>
  <c r="AG164" i="3"/>
  <c r="AH164" i="3"/>
  <c r="AG165" i="3"/>
  <c r="AH165" i="3"/>
  <c r="AG166" i="3"/>
  <c r="AH166" i="3"/>
  <c r="AG167" i="3"/>
  <c r="AH167" i="3"/>
  <c r="AG168" i="3"/>
  <c r="AH168" i="3"/>
  <c r="AG169" i="3"/>
  <c r="AH169" i="3"/>
  <c r="AG170" i="3"/>
  <c r="AH170" i="3"/>
  <c r="AG171" i="3"/>
  <c r="AH171" i="3"/>
  <c r="AG172" i="3"/>
  <c r="AH172" i="3"/>
  <c r="AG173" i="3"/>
  <c r="AH173" i="3"/>
  <c r="AG174" i="3"/>
  <c r="AH174" i="3"/>
  <c r="AG175" i="3"/>
  <c r="AH175" i="3"/>
  <c r="AG176" i="3"/>
  <c r="AH176" i="3"/>
  <c r="AG177" i="3"/>
  <c r="AH177" i="3"/>
  <c r="AG178" i="3"/>
  <c r="AH178" i="3"/>
  <c r="AG179" i="3"/>
  <c r="AH179" i="3"/>
  <c r="AG180" i="3"/>
  <c r="AH180" i="3"/>
  <c r="AG181" i="3"/>
  <c r="AH181" i="3"/>
  <c r="AG182" i="3"/>
  <c r="AH182" i="3"/>
  <c r="AG183" i="3"/>
  <c r="AH183" i="3"/>
  <c r="AG184" i="3"/>
  <c r="AH184" i="3"/>
  <c r="AG185" i="3"/>
  <c r="AH185" i="3"/>
  <c r="AG186" i="3"/>
  <c r="AH186" i="3"/>
  <c r="AG187" i="3"/>
  <c r="AH187" i="3"/>
  <c r="AG188" i="3"/>
  <c r="AH188" i="3"/>
  <c r="AG189" i="3"/>
  <c r="AH189" i="3"/>
  <c r="AG190" i="3"/>
  <c r="AH190" i="3"/>
  <c r="AG191" i="3"/>
  <c r="AH191" i="3"/>
  <c r="AG192" i="3"/>
  <c r="AH192" i="3"/>
  <c r="AG193" i="3"/>
  <c r="AH193" i="3"/>
  <c r="AG194" i="3"/>
  <c r="AH194" i="3"/>
  <c r="AG195" i="3"/>
  <c r="AH195" i="3"/>
  <c r="AG196" i="3"/>
  <c r="AH196" i="3"/>
  <c r="AG197" i="3"/>
  <c r="AH197" i="3"/>
  <c r="AG198" i="3"/>
  <c r="AH198" i="3"/>
  <c r="AG199" i="3"/>
  <c r="AH199" i="3"/>
  <c r="AG200" i="3"/>
  <c r="AH200" i="3"/>
  <c r="AG201" i="3"/>
  <c r="AH201" i="3"/>
  <c r="AG202" i="3"/>
  <c r="AH202" i="3"/>
  <c r="AG203" i="3"/>
  <c r="AH203" i="3"/>
  <c r="AG204" i="3"/>
  <c r="AH204" i="3"/>
  <c r="AG205" i="3"/>
  <c r="AH205" i="3"/>
  <c r="AG206" i="3"/>
  <c r="AH206" i="3"/>
  <c r="AG207" i="3"/>
  <c r="AH207" i="3"/>
  <c r="AG208" i="3"/>
  <c r="AH208" i="3"/>
  <c r="AG209" i="3"/>
  <c r="AH209" i="3"/>
  <c r="AG210" i="3"/>
  <c r="AH210" i="3"/>
  <c r="AG211" i="3"/>
  <c r="AH211" i="3"/>
  <c r="AG212" i="3"/>
  <c r="AH212" i="3"/>
  <c r="AH2" i="3"/>
  <c r="AG2" i="3"/>
  <c r="AC3" i="3"/>
  <c r="AD3" i="3"/>
  <c r="AC4" i="3"/>
  <c r="AD4" i="3"/>
  <c r="AC5" i="3"/>
  <c r="AD5" i="3"/>
  <c r="AC6" i="3"/>
  <c r="AD6" i="3"/>
  <c r="AC7" i="3"/>
  <c r="AD7" i="3"/>
  <c r="AC8" i="3"/>
  <c r="AD8" i="3"/>
  <c r="AC9" i="3"/>
  <c r="AD9" i="3"/>
  <c r="AC10" i="3"/>
  <c r="AD10" i="3"/>
  <c r="AC11" i="3"/>
  <c r="AD11" i="3"/>
  <c r="AC12" i="3"/>
  <c r="AD12" i="3"/>
  <c r="AC13" i="3"/>
  <c r="AD13" i="3"/>
  <c r="AC14" i="3"/>
  <c r="AD14" i="3"/>
  <c r="AC15" i="3"/>
  <c r="AD15" i="3"/>
  <c r="AC16" i="3"/>
  <c r="AD16" i="3"/>
  <c r="AC17" i="3"/>
  <c r="AD17" i="3"/>
  <c r="AC18" i="3"/>
  <c r="AD18" i="3"/>
  <c r="AC19" i="3"/>
  <c r="AD19" i="3"/>
  <c r="AC20" i="3"/>
  <c r="AD20" i="3"/>
  <c r="AC21" i="3"/>
  <c r="AD21" i="3"/>
  <c r="AC22" i="3"/>
  <c r="AD22" i="3"/>
  <c r="AC23" i="3"/>
  <c r="AD23" i="3"/>
  <c r="AC24" i="3"/>
  <c r="AD24" i="3"/>
  <c r="AC25" i="3"/>
  <c r="AD25" i="3"/>
  <c r="AC26" i="3"/>
  <c r="AD26" i="3"/>
  <c r="AC27" i="3"/>
  <c r="AD27" i="3"/>
  <c r="AC28" i="3"/>
  <c r="AD28" i="3"/>
  <c r="AC29" i="3"/>
  <c r="AD29" i="3"/>
  <c r="AC30" i="3"/>
  <c r="AD30" i="3"/>
  <c r="AC31" i="3"/>
  <c r="AD31" i="3"/>
  <c r="AC32" i="3"/>
  <c r="AD32" i="3"/>
  <c r="AC33" i="3"/>
  <c r="AD33" i="3"/>
  <c r="AC34" i="3"/>
  <c r="AD34" i="3"/>
  <c r="AC35" i="3"/>
  <c r="AD35" i="3"/>
  <c r="AC36" i="3"/>
  <c r="AD36" i="3"/>
  <c r="AC37" i="3"/>
  <c r="AD37" i="3"/>
  <c r="AC38" i="3"/>
  <c r="AD38" i="3"/>
  <c r="AC39" i="3"/>
  <c r="AD39" i="3"/>
  <c r="AC40" i="3"/>
  <c r="AD40" i="3"/>
  <c r="AC41" i="3"/>
  <c r="AD41" i="3"/>
  <c r="AC42" i="3"/>
  <c r="AD42" i="3"/>
  <c r="AC43" i="3"/>
  <c r="AD43" i="3"/>
  <c r="AC44" i="3"/>
  <c r="AD44" i="3"/>
  <c r="AC45" i="3"/>
  <c r="AD45" i="3"/>
  <c r="AC46" i="3"/>
  <c r="AD46" i="3"/>
  <c r="AC47" i="3"/>
  <c r="AD47" i="3"/>
  <c r="AC48" i="3"/>
  <c r="AD48" i="3"/>
  <c r="AC49" i="3"/>
  <c r="AD49" i="3"/>
  <c r="AC50" i="3"/>
  <c r="AD50" i="3"/>
  <c r="AC51" i="3"/>
  <c r="AD51" i="3"/>
  <c r="AC52" i="3"/>
  <c r="AD52" i="3"/>
  <c r="AC53" i="3"/>
  <c r="AD53" i="3"/>
  <c r="AC54" i="3"/>
  <c r="AD54" i="3"/>
  <c r="AC55" i="3"/>
  <c r="AD55" i="3"/>
  <c r="AC56" i="3"/>
  <c r="AD56" i="3"/>
  <c r="AC57" i="3"/>
  <c r="AD57" i="3"/>
  <c r="AC58" i="3"/>
  <c r="AD58" i="3"/>
  <c r="AC59" i="3"/>
  <c r="AD59" i="3"/>
  <c r="AC60" i="3"/>
  <c r="AD60" i="3"/>
  <c r="AC61" i="3"/>
  <c r="AD61" i="3"/>
  <c r="AC62" i="3"/>
  <c r="AD62" i="3"/>
  <c r="AC63" i="3"/>
  <c r="AD63" i="3"/>
  <c r="AC64" i="3"/>
  <c r="AD64" i="3"/>
  <c r="AC65" i="3"/>
  <c r="AD65" i="3"/>
  <c r="AC66" i="3"/>
  <c r="AD66" i="3"/>
  <c r="AC67" i="3"/>
  <c r="AD67" i="3"/>
  <c r="AC68" i="3"/>
  <c r="AD68" i="3"/>
  <c r="AC69" i="3"/>
  <c r="AD69" i="3"/>
  <c r="AC70" i="3"/>
  <c r="AD70" i="3"/>
  <c r="AC71" i="3"/>
  <c r="AD71" i="3"/>
  <c r="AC72" i="3"/>
  <c r="AD72" i="3"/>
  <c r="AC73" i="3"/>
  <c r="AD73" i="3"/>
  <c r="AC74" i="3"/>
  <c r="AD74" i="3"/>
  <c r="AC75" i="3"/>
  <c r="AD75" i="3"/>
  <c r="AC76" i="3"/>
  <c r="AD76" i="3"/>
  <c r="AC77" i="3"/>
  <c r="AD77" i="3"/>
  <c r="AC78" i="3"/>
  <c r="AD78" i="3"/>
  <c r="AC79" i="3"/>
  <c r="AD79" i="3"/>
  <c r="AC80" i="3"/>
  <c r="AD80" i="3"/>
  <c r="AC81" i="3"/>
  <c r="AD81" i="3"/>
  <c r="AC82" i="3"/>
  <c r="AD82" i="3"/>
  <c r="AC83" i="3"/>
  <c r="AD83" i="3"/>
  <c r="AC84" i="3"/>
  <c r="AD84" i="3"/>
  <c r="AC85" i="3"/>
  <c r="AD85" i="3"/>
  <c r="AC86" i="3"/>
  <c r="AD86" i="3"/>
  <c r="AC87" i="3"/>
  <c r="AD87" i="3"/>
  <c r="AC88" i="3"/>
  <c r="AD88" i="3"/>
  <c r="AC89" i="3"/>
  <c r="AD89" i="3"/>
  <c r="AC90" i="3"/>
  <c r="AD90" i="3"/>
  <c r="AC91" i="3"/>
  <c r="AD91" i="3"/>
  <c r="AC92" i="3"/>
  <c r="AD92" i="3"/>
  <c r="AC93" i="3"/>
  <c r="AD93" i="3"/>
  <c r="AC94" i="3"/>
  <c r="AD94" i="3"/>
  <c r="AC95" i="3"/>
  <c r="AD95" i="3"/>
  <c r="AC96" i="3"/>
  <c r="AD96" i="3"/>
  <c r="AC97" i="3"/>
  <c r="AD97" i="3"/>
  <c r="AC98" i="3"/>
  <c r="AD98" i="3"/>
  <c r="AC99" i="3"/>
  <c r="AD99" i="3"/>
  <c r="AC100" i="3"/>
  <c r="AD100" i="3"/>
  <c r="AC101" i="3"/>
  <c r="AD101" i="3"/>
  <c r="AC102" i="3"/>
  <c r="AD102" i="3"/>
  <c r="AC103" i="3"/>
  <c r="AD103" i="3"/>
  <c r="AC104" i="3"/>
  <c r="AD104" i="3"/>
  <c r="AC105" i="3"/>
  <c r="AD105" i="3"/>
  <c r="AC106" i="3"/>
  <c r="AD106" i="3"/>
  <c r="AC107" i="3"/>
  <c r="AD107" i="3"/>
  <c r="AC108" i="3"/>
  <c r="AD108" i="3"/>
  <c r="AC109" i="3"/>
  <c r="AD109" i="3"/>
  <c r="AC110" i="3"/>
  <c r="AD110" i="3"/>
  <c r="AC111" i="3"/>
  <c r="AD111" i="3"/>
  <c r="AC112" i="3"/>
  <c r="AD112" i="3"/>
  <c r="AC113" i="3"/>
  <c r="AD113" i="3"/>
  <c r="AC114" i="3"/>
  <c r="AD114" i="3"/>
  <c r="AC115" i="3"/>
  <c r="AD115" i="3"/>
  <c r="AC116" i="3"/>
  <c r="AD116" i="3"/>
  <c r="AC117" i="3"/>
  <c r="AD117" i="3"/>
  <c r="AC118" i="3"/>
  <c r="AD118" i="3"/>
  <c r="AC119" i="3"/>
  <c r="AD119" i="3"/>
  <c r="AC120" i="3"/>
  <c r="AD120" i="3"/>
  <c r="AC121" i="3"/>
  <c r="AD121" i="3"/>
  <c r="AC122" i="3"/>
  <c r="AD122" i="3"/>
  <c r="AC123" i="3"/>
  <c r="AD123" i="3"/>
  <c r="AC124" i="3"/>
  <c r="AD124" i="3"/>
  <c r="AC125" i="3"/>
  <c r="AD125" i="3"/>
  <c r="AC126" i="3"/>
  <c r="AD126" i="3"/>
  <c r="AC127" i="3"/>
  <c r="AD127" i="3"/>
  <c r="AC128" i="3"/>
  <c r="AD128" i="3"/>
  <c r="AC129" i="3"/>
  <c r="AD129" i="3"/>
  <c r="AC130" i="3"/>
  <c r="AD130" i="3"/>
  <c r="AC131" i="3"/>
  <c r="AD131" i="3"/>
  <c r="AC132" i="3"/>
  <c r="AD132" i="3"/>
  <c r="AC133" i="3"/>
  <c r="AD133" i="3"/>
  <c r="AC134" i="3"/>
  <c r="AD134" i="3"/>
  <c r="AC135" i="3"/>
  <c r="AD135" i="3"/>
  <c r="AC136" i="3"/>
  <c r="AD136" i="3"/>
  <c r="AC137" i="3"/>
  <c r="AD137" i="3"/>
  <c r="AC138" i="3"/>
  <c r="AD138" i="3"/>
  <c r="AC139" i="3"/>
  <c r="AD139" i="3"/>
  <c r="AC140" i="3"/>
  <c r="AD140" i="3"/>
  <c r="AC141" i="3"/>
  <c r="AD141" i="3"/>
  <c r="AC142" i="3"/>
  <c r="AD142" i="3"/>
  <c r="AC143" i="3"/>
  <c r="AD143" i="3"/>
  <c r="AC144" i="3"/>
  <c r="AD144" i="3"/>
  <c r="AC145" i="3"/>
  <c r="AD145" i="3"/>
  <c r="AC146" i="3"/>
  <c r="AD146" i="3"/>
  <c r="AC147" i="3"/>
  <c r="AD147" i="3"/>
  <c r="AC148" i="3"/>
  <c r="AD148" i="3"/>
  <c r="AC149" i="3"/>
  <c r="AD149" i="3"/>
  <c r="AC150" i="3"/>
  <c r="AD150" i="3"/>
  <c r="AC151" i="3"/>
  <c r="AD151" i="3"/>
  <c r="AC152" i="3"/>
  <c r="AD152" i="3"/>
  <c r="AC153" i="3"/>
  <c r="AD153" i="3"/>
  <c r="AC154" i="3"/>
  <c r="AD154" i="3"/>
  <c r="AC155" i="3"/>
  <c r="AD155" i="3"/>
  <c r="AC156" i="3"/>
  <c r="AD156" i="3"/>
  <c r="AC157" i="3"/>
  <c r="AD157" i="3"/>
  <c r="AC158" i="3"/>
  <c r="AD158" i="3"/>
  <c r="AC159" i="3"/>
  <c r="AD159" i="3"/>
  <c r="AC160" i="3"/>
  <c r="AD160" i="3"/>
  <c r="AC161" i="3"/>
  <c r="AD161" i="3"/>
  <c r="AC162" i="3"/>
  <c r="AD162" i="3"/>
  <c r="AC163" i="3"/>
  <c r="AD163" i="3"/>
  <c r="AC164" i="3"/>
  <c r="AD164" i="3"/>
  <c r="AC165" i="3"/>
  <c r="AD165" i="3"/>
  <c r="AC166" i="3"/>
  <c r="AD166" i="3"/>
  <c r="AC167" i="3"/>
  <c r="AD167" i="3"/>
  <c r="AC168" i="3"/>
  <c r="AD168" i="3"/>
  <c r="AC169" i="3"/>
  <c r="AD169" i="3"/>
  <c r="AC170" i="3"/>
  <c r="AD170" i="3"/>
  <c r="AC171" i="3"/>
  <c r="AD171" i="3"/>
  <c r="AC172" i="3"/>
  <c r="AD172" i="3"/>
  <c r="AC173" i="3"/>
  <c r="AD173" i="3"/>
  <c r="AC174" i="3"/>
  <c r="AD174" i="3"/>
  <c r="AC175" i="3"/>
  <c r="AD175" i="3"/>
  <c r="AC176" i="3"/>
  <c r="AD176" i="3"/>
  <c r="AC177" i="3"/>
  <c r="AD177" i="3"/>
  <c r="AC178" i="3"/>
  <c r="AD178" i="3"/>
  <c r="AC179" i="3"/>
  <c r="AD179" i="3"/>
  <c r="AC180" i="3"/>
  <c r="AD180" i="3"/>
  <c r="AC181" i="3"/>
  <c r="AD181" i="3"/>
  <c r="AC182" i="3"/>
  <c r="AD182" i="3"/>
  <c r="AC183" i="3"/>
  <c r="AD183" i="3"/>
  <c r="AC184" i="3"/>
  <c r="AD184" i="3"/>
  <c r="AC185" i="3"/>
  <c r="AD185" i="3"/>
  <c r="AC186" i="3"/>
  <c r="AD186" i="3"/>
  <c r="AC187" i="3"/>
  <c r="AD187" i="3"/>
  <c r="AC188" i="3"/>
  <c r="AD188" i="3"/>
  <c r="AC189" i="3"/>
  <c r="AD189" i="3"/>
  <c r="AC190" i="3"/>
  <c r="AD190" i="3"/>
  <c r="AC191" i="3"/>
  <c r="AD191" i="3"/>
  <c r="AC192" i="3"/>
  <c r="AD192" i="3"/>
  <c r="AC193" i="3"/>
  <c r="AD193" i="3"/>
  <c r="AC194" i="3"/>
  <c r="AD194" i="3"/>
  <c r="AC195" i="3"/>
  <c r="AD195" i="3"/>
  <c r="AC196" i="3"/>
  <c r="AD196" i="3"/>
  <c r="AC197" i="3"/>
  <c r="AD197" i="3"/>
  <c r="AC198" i="3"/>
  <c r="AD198" i="3"/>
  <c r="AC199" i="3"/>
  <c r="AD199" i="3"/>
  <c r="AC200" i="3"/>
  <c r="AD200" i="3"/>
  <c r="AC201" i="3"/>
  <c r="AD201" i="3"/>
  <c r="AC202" i="3"/>
  <c r="AD202" i="3"/>
  <c r="AC203" i="3"/>
  <c r="AD203" i="3"/>
  <c r="AC204" i="3"/>
  <c r="AD204" i="3"/>
  <c r="AC205" i="3"/>
  <c r="AD205" i="3"/>
  <c r="AC206" i="3"/>
  <c r="AD206" i="3"/>
  <c r="AC207" i="3"/>
  <c r="AD207" i="3"/>
  <c r="AC208" i="3"/>
  <c r="AD208" i="3"/>
  <c r="AC209" i="3"/>
  <c r="AD209" i="3"/>
  <c r="AC210" i="3"/>
  <c r="AD210" i="3"/>
  <c r="AC211" i="3"/>
  <c r="AD211" i="3"/>
  <c r="AC212" i="3"/>
  <c r="AD212" i="3"/>
  <c r="AD2" i="3"/>
  <c r="AC2" i="3"/>
  <c r="Z3" i="3"/>
  <c r="AA3" i="3"/>
  <c r="Z4" i="3"/>
  <c r="AA4" i="3"/>
  <c r="Z5" i="3"/>
  <c r="AA5" i="3"/>
  <c r="Z6" i="3"/>
  <c r="AA6" i="3"/>
  <c r="Z7" i="3"/>
  <c r="AA7" i="3"/>
  <c r="Z8" i="3"/>
  <c r="AA8" i="3"/>
  <c r="Z9" i="3"/>
  <c r="AA9" i="3"/>
  <c r="Z10" i="3"/>
  <c r="AA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Z33" i="3"/>
  <c r="AA33" i="3"/>
  <c r="Z34" i="3"/>
  <c r="AA34" i="3"/>
  <c r="Z35" i="3"/>
  <c r="AA35" i="3"/>
  <c r="Z36" i="3"/>
  <c r="AA36" i="3"/>
  <c r="Z37" i="3"/>
  <c r="AA37" i="3"/>
  <c r="Z38" i="3"/>
  <c r="AA38" i="3"/>
  <c r="Z39" i="3"/>
  <c r="AA39" i="3"/>
  <c r="Z40" i="3"/>
  <c r="AA40" i="3"/>
  <c r="Z41" i="3"/>
  <c r="AA41" i="3"/>
  <c r="Z42" i="3"/>
  <c r="AA42" i="3"/>
  <c r="Z43" i="3"/>
  <c r="AA43" i="3"/>
  <c r="Z44" i="3"/>
  <c r="AA44" i="3"/>
  <c r="Z45" i="3"/>
  <c r="AA45" i="3"/>
  <c r="Z46" i="3"/>
  <c r="AA46" i="3"/>
  <c r="Z47" i="3"/>
  <c r="AA47" i="3"/>
  <c r="Z48" i="3"/>
  <c r="AA48" i="3"/>
  <c r="Z49" i="3"/>
  <c r="AA49" i="3"/>
  <c r="Z50" i="3"/>
  <c r="AA50" i="3"/>
  <c r="Z51" i="3"/>
  <c r="AA51" i="3"/>
  <c r="Z52" i="3"/>
  <c r="AA52" i="3"/>
  <c r="Z53" i="3"/>
  <c r="AA53" i="3"/>
  <c r="Z54" i="3"/>
  <c r="AA54" i="3"/>
  <c r="Z55" i="3"/>
  <c r="AA55" i="3"/>
  <c r="Z56" i="3"/>
  <c r="AA56" i="3"/>
  <c r="Z57" i="3"/>
  <c r="AA57" i="3"/>
  <c r="Z58" i="3"/>
  <c r="AA58" i="3"/>
  <c r="Z59" i="3"/>
  <c r="AA59" i="3"/>
  <c r="Z60" i="3"/>
  <c r="AA60" i="3"/>
  <c r="Z61" i="3"/>
  <c r="AA61" i="3"/>
  <c r="Z62" i="3"/>
  <c r="AA62" i="3"/>
  <c r="Z63" i="3"/>
  <c r="AA63" i="3"/>
  <c r="Z64" i="3"/>
  <c r="AA64" i="3"/>
  <c r="Z65" i="3"/>
  <c r="AA65" i="3"/>
  <c r="Z66" i="3"/>
  <c r="AA66" i="3"/>
  <c r="Z67" i="3"/>
  <c r="AA67" i="3"/>
  <c r="Z68" i="3"/>
  <c r="AA68" i="3"/>
  <c r="Z69" i="3"/>
  <c r="AA69" i="3"/>
  <c r="Z70" i="3"/>
  <c r="AA70" i="3"/>
  <c r="Z71" i="3"/>
  <c r="AA71" i="3"/>
  <c r="Z72" i="3"/>
  <c r="AA72" i="3"/>
  <c r="Z73" i="3"/>
  <c r="AA73" i="3"/>
  <c r="Z74" i="3"/>
  <c r="AA74" i="3"/>
  <c r="Z75" i="3"/>
  <c r="AA75" i="3"/>
  <c r="Z76" i="3"/>
  <c r="AA76" i="3"/>
  <c r="Z77" i="3"/>
  <c r="AA77" i="3"/>
  <c r="Z78" i="3"/>
  <c r="AA78" i="3"/>
  <c r="Z79" i="3"/>
  <c r="AA79" i="3"/>
  <c r="Z80" i="3"/>
  <c r="AA80" i="3"/>
  <c r="Z81" i="3"/>
  <c r="AA81" i="3"/>
  <c r="Z82" i="3"/>
  <c r="AA82" i="3"/>
  <c r="Z83" i="3"/>
  <c r="AA83" i="3"/>
  <c r="Z84" i="3"/>
  <c r="AA84" i="3"/>
  <c r="Z85" i="3"/>
  <c r="AA85" i="3"/>
  <c r="Z86" i="3"/>
  <c r="AA86" i="3"/>
  <c r="Z87" i="3"/>
  <c r="AA87" i="3"/>
  <c r="Z88" i="3"/>
  <c r="AA88" i="3"/>
  <c r="Z89" i="3"/>
  <c r="AA89" i="3"/>
  <c r="Z90" i="3"/>
  <c r="AA90" i="3"/>
  <c r="Z91" i="3"/>
  <c r="AA91" i="3"/>
  <c r="Z92" i="3"/>
  <c r="AA92" i="3"/>
  <c r="Z93" i="3"/>
  <c r="AA93" i="3"/>
  <c r="Z94" i="3"/>
  <c r="AA94" i="3"/>
  <c r="Z95" i="3"/>
  <c r="AA95" i="3"/>
  <c r="Z96" i="3"/>
  <c r="AA96" i="3"/>
  <c r="Z97" i="3"/>
  <c r="AA97" i="3"/>
  <c r="Z98" i="3"/>
  <c r="AA98" i="3"/>
  <c r="Z99" i="3"/>
  <c r="AA99" i="3"/>
  <c r="Z100" i="3"/>
  <c r="AA100" i="3"/>
  <c r="Z101" i="3"/>
  <c r="AA101" i="3"/>
  <c r="Z102" i="3"/>
  <c r="AA102" i="3"/>
  <c r="Z103" i="3"/>
  <c r="AA103" i="3"/>
  <c r="Z104" i="3"/>
  <c r="AA104" i="3"/>
  <c r="Z105" i="3"/>
  <c r="AA105" i="3"/>
  <c r="Z106" i="3"/>
  <c r="AA106" i="3"/>
  <c r="Z107" i="3"/>
  <c r="AA107" i="3"/>
  <c r="Z108" i="3"/>
  <c r="AA108" i="3"/>
  <c r="Z109" i="3"/>
  <c r="AA109" i="3"/>
  <c r="Z110" i="3"/>
  <c r="AA110" i="3"/>
  <c r="Z111" i="3"/>
  <c r="AA111" i="3"/>
  <c r="Z112" i="3"/>
  <c r="AA112" i="3"/>
  <c r="Z113" i="3"/>
  <c r="AA113" i="3"/>
  <c r="Z114" i="3"/>
  <c r="AA114" i="3"/>
  <c r="Z115" i="3"/>
  <c r="AA115" i="3"/>
  <c r="Z116" i="3"/>
  <c r="AA116" i="3"/>
  <c r="Z117" i="3"/>
  <c r="AA117" i="3"/>
  <c r="Z118" i="3"/>
  <c r="AA118" i="3"/>
  <c r="Z119" i="3"/>
  <c r="AA119" i="3"/>
  <c r="Z120" i="3"/>
  <c r="AA120" i="3"/>
  <c r="Z121" i="3"/>
  <c r="AA121" i="3"/>
  <c r="Z122" i="3"/>
  <c r="AA122" i="3"/>
  <c r="Z123" i="3"/>
  <c r="AA123" i="3"/>
  <c r="Z124" i="3"/>
  <c r="AA124" i="3"/>
  <c r="Z125" i="3"/>
  <c r="AA125" i="3"/>
  <c r="Z126" i="3"/>
  <c r="AA126" i="3"/>
  <c r="Z127" i="3"/>
  <c r="AA127" i="3"/>
  <c r="Z128" i="3"/>
  <c r="AA128" i="3"/>
  <c r="Z129" i="3"/>
  <c r="AA129" i="3"/>
  <c r="Z130" i="3"/>
  <c r="AA130" i="3"/>
  <c r="Z131" i="3"/>
  <c r="AA131" i="3"/>
  <c r="Z132" i="3"/>
  <c r="AA132" i="3"/>
  <c r="Z133" i="3"/>
  <c r="AA133" i="3"/>
  <c r="Z134" i="3"/>
  <c r="AA134" i="3"/>
  <c r="Z135" i="3"/>
  <c r="AA135" i="3"/>
  <c r="Z136" i="3"/>
  <c r="AA136" i="3"/>
  <c r="Z137" i="3"/>
  <c r="AA137" i="3"/>
  <c r="Z138" i="3"/>
  <c r="AA138" i="3"/>
  <c r="Z139" i="3"/>
  <c r="AA139" i="3"/>
  <c r="Z140" i="3"/>
  <c r="AA140" i="3"/>
  <c r="Z141" i="3"/>
  <c r="AA141" i="3"/>
  <c r="Z142" i="3"/>
  <c r="AA142" i="3"/>
  <c r="Z143" i="3"/>
  <c r="AA143" i="3"/>
  <c r="Z144" i="3"/>
  <c r="AA144" i="3"/>
  <c r="Z145" i="3"/>
  <c r="AA145" i="3"/>
  <c r="Z146" i="3"/>
  <c r="AA146" i="3"/>
  <c r="Z147" i="3"/>
  <c r="AA147" i="3"/>
  <c r="Z148" i="3"/>
  <c r="AA148" i="3"/>
  <c r="Z149" i="3"/>
  <c r="AA149" i="3"/>
  <c r="Z150" i="3"/>
  <c r="AA150" i="3"/>
  <c r="Z151" i="3"/>
  <c r="AA151" i="3"/>
  <c r="Z152" i="3"/>
  <c r="AA152" i="3"/>
  <c r="Z153" i="3"/>
  <c r="AA153" i="3"/>
  <c r="Z154" i="3"/>
  <c r="AA154" i="3"/>
  <c r="Z155" i="3"/>
  <c r="AA155" i="3"/>
  <c r="Z156" i="3"/>
  <c r="AA156" i="3"/>
  <c r="Z157" i="3"/>
  <c r="AA157" i="3"/>
  <c r="Z158" i="3"/>
  <c r="AA158" i="3"/>
  <c r="Z159" i="3"/>
  <c r="AA159" i="3"/>
  <c r="Z160" i="3"/>
  <c r="AA160" i="3"/>
  <c r="Z161" i="3"/>
  <c r="AA161" i="3"/>
  <c r="Z162" i="3"/>
  <c r="AA162" i="3"/>
  <c r="Z163" i="3"/>
  <c r="AA163" i="3"/>
  <c r="Z164" i="3"/>
  <c r="AA164" i="3"/>
  <c r="Z165" i="3"/>
  <c r="AA165" i="3"/>
  <c r="Z166" i="3"/>
  <c r="AA166" i="3"/>
  <c r="Z167" i="3"/>
  <c r="AA167" i="3"/>
  <c r="Z168" i="3"/>
  <c r="AA168" i="3"/>
  <c r="Z169" i="3"/>
  <c r="AA169" i="3"/>
  <c r="Z170" i="3"/>
  <c r="AA170" i="3"/>
  <c r="Z171" i="3"/>
  <c r="AA171" i="3"/>
  <c r="Z172" i="3"/>
  <c r="AA172" i="3"/>
  <c r="Z173" i="3"/>
  <c r="AA173" i="3"/>
  <c r="Z174" i="3"/>
  <c r="AA174" i="3"/>
  <c r="Z175" i="3"/>
  <c r="AA175" i="3"/>
  <c r="Z176" i="3"/>
  <c r="AA176" i="3"/>
  <c r="Z177" i="3"/>
  <c r="AA177" i="3"/>
  <c r="Z178" i="3"/>
  <c r="AA178" i="3"/>
  <c r="Z179" i="3"/>
  <c r="AA179" i="3"/>
  <c r="Z180" i="3"/>
  <c r="AA180" i="3"/>
  <c r="Z181" i="3"/>
  <c r="AA181" i="3"/>
  <c r="Z182" i="3"/>
  <c r="AA182" i="3"/>
  <c r="Z183" i="3"/>
  <c r="AA183" i="3"/>
  <c r="Z184" i="3"/>
  <c r="AA184" i="3"/>
  <c r="Z185" i="3"/>
  <c r="AA185" i="3"/>
  <c r="Z186" i="3"/>
  <c r="AA186" i="3"/>
  <c r="Z187" i="3"/>
  <c r="AA187" i="3"/>
  <c r="Z188" i="3"/>
  <c r="AA188" i="3"/>
  <c r="Z189" i="3"/>
  <c r="AA189" i="3"/>
  <c r="Z190" i="3"/>
  <c r="AA190" i="3"/>
  <c r="Z191" i="3"/>
  <c r="AA191" i="3"/>
  <c r="Z192" i="3"/>
  <c r="AA192" i="3"/>
  <c r="Z193" i="3"/>
  <c r="AA193" i="3"/>
  <c r="Z194" i="3"/>
  <c r="AA194" i="3"/>
  <c r="Z195" i="3"/>
  <c r="AA195" i="3"/>
  <c r="Z196" i="3"/>
  <c r="AA196" i="3"/>
  <c r="Z197" i="3"/>
  <c r="AA197" i="3"/>
  <c r="Z198" i="3"/>
  <c r="AA198" i="3"/>
  <c r="Z199" i="3"/>
  <c r="AA199" i="3"/>
  <c r="Z200" i="3"/>
  <c r="AA200" i="3"/>
  <c r="Z201" i="3"/>
  <c r="AA201" i="3"/>
  <c r="Z202" i="3"/>
  <c r="AA202" i="3"/>
  <c r="Z203" i="3"/>
  <c r="AA203" i="3"/>
  <c r="Z204" i="3"/>
  <c r="AA204" i="3"/>
  <c r="Z205" i="3"/>
  <c r="AA205" i="3"/>
  <c r="Z206" i="3"/>
  <c r="AA206" i="3"/>
  <c r="Z207" i="3"/>
  <c r="AA207" i="3"/>
  <c r="Z208" i="3"/>
  <c r="AA208" i="3"/>
  <c r="Z209" i="3"/>
  <c r="AA209" i="3"/>
  <c r="Z210" i="3"/>
  <c r="AA210" i="3"/>
  <c r="Z211" i="3"/>
  <c r="AA211" i="3"/>
  <c r="Z212" i="3"/>
  <c r="AA212" i="3"/>
  <c r="AA2" i="3"/>
  <c r="Z2" i="3"/>
  <c r="W3" i="3"/>
  <c r="X3" i="3"/>
  <c r="W4" i="3"/>
  <c r="X4" i="3"/>
  <c r="W5" i="3"/>
  <c r="X5" i="3"/>
  <c r="W6" i="3"/>
  <c r="X6" i="3"/>
  <c r="W7" i="3"/>
  <c r="X7" i="3"/>
  <c r="W8" i="3"/>
  <c r="X8" i="3"/>
  <c r="W9" i="3"/>
  <c r="X9" i="3"/>
  <c r="W10" i="3"/>
  <c r="X10" i="3"/>
  <c r="W11" i="3"/>
  <c r="X11" i="3"/>
  <c r="W12" i="3"/>
  <c r="X12" i="3"/>
  <c r="W13" i="3"/>
  <c r="X13" i="3"/>
  <c r="W14" i="3"/>
  <c r="X14" i="3"/>
  <c r="W15" i="3"/>
  <c r="X15" i="3"/>
  <c r="W16" i="3"/>
  <c r="X16" i="3"/>
  <c r="W17" i="3"/>
  <c r="X17" i="3"/>
  <c r="W18" i="3"/>
  <c r="X18" i="3"/>
  <c r="W19" i="3"/>
  <c r="X19" i="3"/>
  <c r="W20" i="3"/>
  <c r="X20" i="3"/>
  <c r="W21" i="3"/>
  <c r="X21" i="3"/>
  <c r="W22" i="3"/>
  <c r="X22" i="3"/>
  <c r="W23" i="3"/>
  <c r="X23" i="3"/>
  <c r="W24" i="3"/>
  <c r="X24" i="3"/>
  <c r="W25" i="3"/>
  <c r="X25" i="3"/>
  <c r="W26" i="3"/>
  <c r="X26" i="3"/>
  <c r="W27" i="3"/>
  <c r="X27" i="3"/>
  <c r="W28" i="3"/>
  <c r="X28" i="3"/>
  <c r="W29" i="3"/>
  <c r="X29" i="3"/>
  <c r="W30" i="3"/>
  <c r="X30" i="3"/>
  <c r="W31" i="3"/>
  <c r="X31" i="3"/>
  <c r="W32" i="3"/>
  <c r="X32" i="3"/>
  <c r="W33" i="3"/>
  <c r="X33" i="3"/>
  <c r="W34" i="3"/>
  <c r="X34" i="3"/>
  <c r="W35" i="3"/>
  <c r="X35" i="3"/>
  <c r="W36" i="3"/>
  <c r="X36" i="3"/>
  <c r="W37" i="3"/>
  <c r="X37" i="3"/>
  <c r="W38" i="3"/>
  <c r="X38" i="3"/>
  <c r="W39" i="3"/>
  <c r="X39" i="3"/>
  <c r="W40" i="3"/>
  <c r="X40" i="3"/>
  <c r="W41" i="3"/>
  <c r="X41" i="3"/>
  <c r="W42" i="3"/>
  <c r="X42" i="3"/>
  <c r="W43" i="3"/>
  <c r="X43" i="3"/>
  <c r="W44" i="3"/>
  <c r="X44" i="3"/>
  <c r="W45" i="3"/>
  <c r="X45" i="3"/>
  <c r="W46" i="3"/>
  <c r="X46" i="3"/>
  <c r="W47" i="3"/>
  <c r="X47" i="3"/>
  <c r="W48" i="3"/>
  <c r="X48" i="3"/>
  <c r="W49" i="3"/>
  <c r="X49" i="3"/>
  <c r="W50" i="3"/>
  <c r="X50" i="3"/>
  <c r="W51" i="3"/>
  <c r="X51" i="3"/>
  <c r="W52" i="3"/>
  <c r="X52" i="3"/>
  <c r="W53" i="3"/>
  <c r="X53" i="3"/>
  <c r="W54" i="3"/>
  <c r="X54" i="3"/>
  <c r="W55" i="3"/>
  <c r="X55" i="3"/>
  <c r="W56" i="3"/>
  <c r="X56" i="3"/>
  <c r="W57" i="3"/>
  <c r="X57" i="3"/>
  <c r="W58" i="3"/>
  <c r="X58" i="3"/>
  <c r="W59" i="3"/>
  <c r="X59" i="3"/>
  <c r="W60" i="3"/>
  <c r="X60" i="3"/>
  <c r="W61" i="3"/>
  <c r="X61" i="3"/>
  <c r="W62" i="3"/>
  <c r="X62" i="3"/>
  <c r="W63" i="3"/>
  <c r="X63" i="3"/>
  <c r="W64" i="3"/>
  <c r="X64" i="3"/>
  <c r="W65" i="3"/>
  <c r="X65" i="3"/>
  <c r="W66" i="3"/>
  <c r="X66" i="3"/>
  <c r="W67" i="3"/>
  <c r="X67" i="3"/>
  <c r="W68" i="3"/>
  <c r="X68" i="3"/>
  <c r="W69" i="3"/>
  <c r="X69" i="3"/>
  <c r="W70" i="3"/>
  <c r="X70" i="3"/>
  <c r="W71" i="3"/>
  <c r="X71" i="3"/>
  <c r="W72" i="3"/>
  <c r="X72" i="3"/>
  <c r="W73" i="3"/>
  <c r="X73" i="3"/>
  <c r="W74" i="3"/>
  <c r="X74" i="3"/>
  <c r="W75" i="3"/>
  <c r="X75" i="3"/>
  <c r="W76" i="3"/>
  <c r="X76" i="3"/>
  <c r="W77" i="3"/>
  <c r="X77" i="3"/>
  <c r="W78" i="3"/>
  <c r="X78" i="3"/>
  <c r="W79" i="3"/>
  <c r="X79" i="3"/>
  <c r="W80" i="3"/>
  <c r="X80" i="3"/>
  <c r="W81" i="3"/>
  <c r="X81" i="3"/>
  <c r="W82" i="3"/>
  <c r="X82" i="3"/>
  <c r="W83" i="3"/>
  <c r="X83" i="3"/>
  <c r="W84" i="3"/>
  <c r="X84" i="3"/>
  <c r="W85" i="3"/>
  <c r="X85" i="3"/>
  <c r="W86" i="3"/>
  <c r="X86" i="3"/>
  <c r="W87" i="3"/>
  <c r="X87" i="3"/>
  <c r="W88" i="3"/>
  <c r="X88" i="3"/>
  <c r="W89" i="3"/>
  <c r="X89" i="3"/>
  <c r="W90" i="3"/>
  <c r="X90" i="3"/>
  <c r="W91" i="3"/>
  <c r="X91" i="3"/>
  <c r="W92" i="3"/>
  <c r="X92" i="3"/>
  <c r="W93" i="3"/>
  <c r="X93" i="3"/>
  <c r="W94" i="3"/>
  <c r="X94" i="3"/>
  <c r="W95" i="3"/>
  <c r="X95" i="3"/>
  <c r="W96" i="3"/>
  <c r="X96" i="3"/>
  <c r="W97" i="3"/>
  <c r="X97" i="3"/>
  <c r="W98" i="3"/>
  <c r="X98" i="3"/>
  <c r="W99" i="3"/>
  <c r="X99" i="3"/>
  <c r="W100" i="3"/>
  <c r="X100" i="3"/>
  <c r="W101" i="3"/>
  <c r="X101" i="3"/>
  <c r="W102" i="3"/>
  <c r="X102" i="3"/>
  <c r="W103" i="3"/>
  <c r="X103" i="3"/>
  <c r="W104" i="3"/>
  <c r="X104" i="3"/>
  <c r="W105" i="3"/>
  <c r="X105" i="3"/>
  <c r="W106" i="3"/>
  <c r="X106" i="3"/>
  <c r="W107" i="3"/>
  <c r="X107" i="3"/>
  <c r="W108" i="3"/>
  <c r="X108" i="3"/>
  <c r="W109" i="3"/>
  <c r="X109" i="3"/>
  <c r="W110" i="3"/>
  <c r="X110" i="3"/>
  <c r="W111" i="3"/>
  <c r="X111" i="3"/>
  <c r="W112" i="3"/>
  <c r="X112" i="3"/>
  <c r="W113" i="3"/>
  <c r="X113" i="3"/>
  <c r="W114" i="3"/>
  <c r="X114" i="3"/>
  <c r="W115" i="3"/>
  <c r="X115" i="3"/>
  <c r="W116" i="3"/>
  <c r="X116" i="3"/>
  <c r="W117" i="3"/>
  <c r="X117" i="3"/>
  <c r="W118" i="3"/>
  <c r="X118" i="3"/>
  <c r="W119" i="3"/>
  <c r="X119" i="3"/>
  <c r="W120" i="3"/>
  <c r="X120" i="3"/>
  <c r="W121" i="3"/>
  <c r="X121" i="3"/>
  <c r="W122" i="3"/>
  <c r="X122" i="3"/>
  <c r="W123" i="3"/>
  <c r="X123" i="3"/>
  <c r="W124" i="3"/>
  <c r="X124" i="3"/>
  <c r="W125" i="3"/>
  <c r="X125" i="3"/>
  <c r="W126" i="3"/>
  <c r="X126" i="3"/>
  <c r="W127" i="3"/>
  <c r="X127" i="3"/>
  <c r="W128" i="3"/>
  <c r="X128" i="3"/>
  <c r="W129" i="3"/>
  <c r="X129" i="3"/>
  <c r="W130" i="3"/>
  <c r="X130" i="3"/>
  <c r="W131" i="3"/>
  <c r="X131" i="3"/>
  <c r="W132" i="3"/>
  <c r="X132" i="3"/>
  <c r="W133" i="3"/>
  <c r="X133" i="3"/>
  <c r="W134" i="3"/>
  <c r="X134" i="3"/>
  <c r="W135" i="3"/>
  <c r="X135" i="3"/>
  <c r="W136" i="3"/>
  <c r="X136" i="3"/>
  <c r="W137" i="3"/>
  <c r="X137" i="3"/>
  <c r="W138" i="3"/>
  <c r="X138" i="3"/>
  <c r="W139" i="3"/>
  <c r="X139" i="3"/>
  <c r="W140" i="3"/>
  <c r="X140" i="3"/>
  <c r="W141" i="3"/>
  <c r="X141" i="3"/>
  <c r="W142" i="3"/>
  <c r="X142" i="3"/>
  <c r="W143" i="3"/>
  <c r="X143" i="3"/>
  <c r="W144" i="3"/>
  <c r="X144" i="3"/>
  <c r="W145" i="3"/>
  <c r="X145" i="3"/>
  <c r="W146" i="3"/>
  <c r="X146" i="3"/>
  <c r="W147" i="3"/>
  <c r="X147" i="3"/>
  <c r="W148" i="3"/>
  <c r="X148" i="3"/>
  <c r="W149" i="3"/>
  <c r="X149" i="3"/>
  <c r="W150" i="3"/>
  <c r="X150" i="3"/>
  <c r="W151" i="3"/>
  <c r="X151" i="3"/>
  <c r="W152" i="3"/>
  <c r="X152" i="3"/>
  <c r="W153" i="3"/>
  <c r="X153" i="3"/>
  <c r="W154" i="3"/>
  <c r="X154" i="3"/>
  <c r="W155" i="3"/>
  <c r="X155" i="3"/>
  <c r="W156" i="3"/>
  <c r="X156" i="3"/>
  <c r="W157" i="3"/>
  <c r="X157" i="3"/>
  <c r="W158" i="3"/>
  <c r="X158" i="3"/>
  <c r="W159" i="3"/>
  <c r="X159" i="3"/>
  <c r="W160" i="3"/>
  <c r="X160" i="3"/>
  <c r="W161" i="3"/>
  <c r="X161" i="3"/>
  <c r="W162" i="3"/>
  <c r="X162" i="3"/>
  <c r="W163" i="3"/>
  <c r="X163" i="3"/>
  <c r="W164" i="3"/>
  <c r="X164" i="3"/>
  <c r="W165" i="3"/>
  <c r="X165" i="3"/>
  <c r="W166" i="3"/>
  <c r="X166" i="3"/>
  <c r="W167" i="3"/>
  <c r="X167" i="3"/>
  <c r="W168" i="3"/>
  <c r="X168" i="3"/>
  <c r="W169" i="3"/>
  <c r="X169" i="3"/>
  <c r="W170" i="3"/>
  <c r="X170" i="3"/>
  <c r="W171" i="3"/>
  <c r="X171" i="3"/>
  <c r="W172" i="3"/>
  <c r="X172" i="3"/>
  <c r="W173" i="3"/>
  <c r="X173" i="3"/>
  <c r="W174" i="3"/>
  <c r="X174" i="3"/>
  <c r="W175" i="3"/>
  <c r="X175" i="3"/>
  <c r="W176" i="3"/>
  <c r="X176" i="3"/>
  <c r="W177" i="3"/>
  <c r="X177" i="3"/>
  <c r="W178" i="3"/>
  <c r="X178" i="3"/>
  <c r="W179" i="3"/>
  <c r="X179" i="3"/>
  <c r="W180" i="3"/>
  <c r="X180" i="3"/>
  <c r="W181" i="3"/>
  <c r="X181" i="3"/>
  <c r="W182" i="3"/>
  <c r="X182" i="3"/>
  <c r="W183" i="3"/>
  <c r="X183" i="3"/>
  <c r="W184" i="3"/>
  <c r="X184" i="3"/>
  <c r="W185" i="3"/>
  <c r="X185" i="3"/>
  <c r="W186" i="3"/>
  <c r="X186" i="3"/>
  <c r="W187" i="3"/>
  <c r="X187" i="3"/>
  <c r="W188" i="3"/>
  <c r="X188" i="3"/>
  <c r="W189" i="3"/>
  <c r="X189" i="3"/>
  <c r="W190" i="3"/>
  <c r="X190" i="3"/>
  <c r="W191" i="3"/>
  <c r="X191" i="3"/>
  <c r="W192" i="3"/>
  <c r="X192" i="3"/>
  <c r="W193" i="3"/>
  <c r="X193" i="3"/>
  <c r="W194" i="3"/>
  <c r="X194" i="3"/>
  <c r="W195" i="3"/>
  <c r="X195" i="3"/>
  <c r="W196" i="3"/>
  <c r="X196" i="3"/>
  <c r="W197" i="3"/>
  <c r="X197" i="3"/>
  <c r="W198" i="3"/>
  <c r="X198" i="3"/>
  <c r="W199" i="3"/>
  <c r="X199" i="3"/>
  <c r="W200" i="3"/>
  <c r="X200" i="3"/>
  <c r="W201" i="3"/>
  <c r="X201" i="3"/>
  <c r="W202" i="3"/>
  <c r="X202" i="3"/>
  <c r="W203" i="3"/>
  <c r="X203" i="3"/>
  <c r="W204" i="3"/>
  <c r="X204" i="3"/>
  <c r="W205" i="3"/>
  <c r="X205" i="3"/>
  <c r="W206" i="3"/>
  <c r="X206" i="3"/>
  <c r="W207" i="3"/>
  <c r="X207" i="3"/>
  <c r="W208" i="3"/>
  <c r="X208" i="3"/>
  <c r="W209" i="3"/>
  <c r="X209" i="3"/>
  <c r="W210" i="3"/>
  <c r="X210" i="3"/>
  <c r="W211" i="3"/>
  <c r="X211" i="3"/>
  <c r="W212" i="3"/>
  <c r="X212" i="3"/>
  <c r="X2" i="3"/>
  <c r="W2" i="3"/>
  <c r="T3" i="3"/>
  <c r="U3" i="3"/>
  <c r="T4" i="3"/>
  <c r="U4" i="3"/>
  <c r="T5" i="3"/>
  <c r="U5" i="3"/>
  <c r="T6" i="3"/>
  <c r="U6" i="3"/>
  <c r="T7" i="3"/>
  <c r="U7" i="3"/>
  <c r="T8" i="3"/>
  <c r="U8" i="3"/>
  <c r="T9" i="3"/>
  <c r="U9" i="3"/>
  <c r="T10" i="3"/>
  <c r="U10" i="3"/>
  <c r="T11" i="3"/>
  <c r="U11" i="3"/>
  <c r="T12" i="3"/>
  <c r="U12" i="3"/>
  <c r="T13" i="3"/>
  <c r="U13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T25" i="3"/>
  <c r="U25" i="3"/>
  <c r="T26" i="3"/>
  <c r="U26" i="3"/>
  <c r="T27" i="3"/>
  <c r="U27" i="3"/>
  <c r="T28" i="3"/>
  <c r="U28" i="3"/>
  <c r="T29" i="3"/>
  <c r="U29" i="3"/>
  <c r="T30" i="3"/>
  <c r="U30" i="3"/>
  <c r="T31" i="3"/>
  <c r="U31" i="3"/>
  <c r="T32" i="3"/>
  <c r="U32" i="3"/>
  <c r="T33" i="3"/>
  <c r="U33" i="3"/>
  <c r="T34" i="3"/>
  <c r="U34" i="3"/>
  <c r="T35" i="3"/>
  <c r="U35" i="3"/>
  <c r="T36" i="3"/>
  <c r="U36" i="3"/>
  <c r="T37" i="3"/>
  <c r="U37" i="3"/>
  <c r="T38" i="3"/>
  <c r="U38" i="3"/>
  <c r="T39" i="3"/>
  <c r="U39" i="3"/>
  <c r="T40" i="3"/>
  <c r="U40" i="3"/>
  <c r="T41" i="3"/>
  <c r="U41" i="3"/>
  <c r="T42" i="3"/>
  <c r="U42" i="3"/>
  <c r="T43" i="3"/>
  <c r="U43" i="3"/>
  <c r="T44" i="3"/>
  <c r="U44" i="3"/>
  <c r="T45" i="3"/>
  <c r="U45" i="3"/>
  <c r="T46" i="3"/>
  <c r="U46" i="3"/>
  <c r="T47" i="3"/>
  <c r="U47" i="3"/>
  <c r="T48" i="3"/>
  <c r="U48" i="3"/>
  <c r="T49" i="3"/>
  <c r="U49" i="3"/>
  <c r="T50" i="3"/>
  <c r="U50" i="3"/>
  <c r="T51" i="3"/>
  <c r="U51" i="3"/>
  <c r="T52" i="3"/>
  <c r="U52" i="3"/>
  <c r="T53" i="3"/>
  <c r="U53" i="3"/>
  <c r="T54" i="3"/>
  <c r="U54" i="3"/>
  <c r="T55" i="3"/>
  <c r="U55" i="3"/>
  <c r="T56" i="3"/>
  <c r="U56" i="3"/>
  <c r="T57" i="3"/>
  <c r="U57" i="3"/>
  <c r="T58" i="3"/>
  <c r="U58" i="3"/>
  <c r="T59" i="3"/>
  <c r="U59" i="3"/>
  <c r="T60" i="3"/>
  <c r="U60" i="3"/>
  <c r="T61" i="3"/>
  <c r="U61" i="3"/>
  <c r="T62" i="3"/>
  <c r="U62" i="3"/>
  <c r="T63" i="3"/>
  <c r="U63" i="3"/>
  <c r="T64" i="3"/>
  <c r="U64" i="3"/>
  <c r="T65" i="3"/>
  <c r="U65" i="3"/>
  <c r="T66" i="3"/>
  <c r="U66" i="3"/>
  <c r="T67" i="3"/>
  <c r="U67" i="3"/>
  <c r="T68" i="3"/>
  <c r="U68" i="3"/>
  <c r="T69" i="3"/>
  <c r="U69" i="3"/>
  <c r="T70" i="3"/>
  <c r="U70" i="3"/>
  <c r="T71" i="3"/>
  <c r="U71" i="3"/>
  <c r="T72" i="3"/>
  <c r="U72" i="3"/>
  <c r="T73" i="3"/>
  <c r="U73" i="3"/>
  <c r="T74" i="3"/>
  <c r="U74" i="3"/>
  <c r="T75" i="3"/>
  <c r="U75" i="3"/>
  <c r="T76" i="3"/>
  <c r="U76" i="3"/>
  <c r="T77" i="3"/>
  <c r="U77" i="3"/>
  <c r="T78" i="3"/>
  <c r="U78" i="3"/>
  <c r="T79" i="3"/>
  <c r="U79" i="3"/>
  <c r="T80" i="3"/>
  <c r="U80" i="3"/>
  <c r="T81" i="3"/>
  <c r="U81" i="3"/>
  <c r="T82" i="3"/>
  <c r="U82" i="3"/>
  <c r="T83" i="3"/>
  <c r="U83" i="3"/>
  <c r="T84" i="3"/>
  <c r="U84" i="3"/>
  <c r="T85" i="3"/>
  <c r="U85" i="3"/>
  <c r="T86" i="3"/>
  <c r="U86" i="3"/>
  <c r="T87" i="3"/>
  <c r="U87" i="3"/>
  <c r="T88" i="3"/>
  <c r="U88" i="3"/>
  <c r="T89" i="3"/>
  <c r="U89" i="3"/>
  <c r="T90" i="3"/>
  <c r="U90" i="3"/>
  <c r="T91" i="3"/>
  <c r="U91" i="3"/>
  <c r="T92" i="3"/>
  <c r="U92" i="3"/>
  <c r="T93" i="3"/>
  <c r="U93" i="3"/>
  <c r="T94" i="3"/>
  <c r="U94" i="3"/>
  <c r="T95" i="3"/>
  <c r="U95" i="3"/>
  <c r="T96" i="3"/>
  <c r="U96" i="3"/>
  <c r="T97" i="3"/>
  <c r="U97" i="3"/>
  <c r="T98" i="3"/>
  <c r="U98" i="3"/>
  <c r="T99" i="3"/>
  <c r="U99" i="3"/>
  <c r="T100" i="3"/>
  <c r="U100" i="3"/>
  <c r="T101" i="3"/>
  <c r="U101" i="3"/>
  <c r="T102" i="3"/>
  <c r="U102" i="3"/>
  <c r="T103" i="3"/>
  <c r="U103" i="3"/>
  <c r="T104" i="3"/>
  <c r="U104" i="3"/>
  <c r="T105" i="3"/>
  <c r="U105" i="3"/>
  <c r="T106" i="3"/>
  <c r="U106" i="3"/>
  <c r="T107" i="3"/>
  <c r="U107" i="3"/>
  <c r="T108" i="3"/>
  <c r="U108" i="3"/>
  <c r="T109" i="3"/>
  <c r="U109" i="3"/>
  <c r="T110" i="3"/>
  <c r="U110" i="3"/>
  <c r="T111" i="3"/>
  <c r="U111" i="3"/>
  <c r="T112" i="3"/>
  <c r="U112" i="3"/>
  <c r="T113" i="3"/>
  <c r="U113" i="3"/>
  <c r="T114" i="3"/>
  <c r="U114" i="3"/>
  <c r="T115" i="3"/>
  <c r="U115" i="3"/>
  <c r="T116" i="3"/>
  <c r="U116" i="3"/>
  <c r="T117" i="3"/>
  <c r="U117" i="3"/>
  <c r="T118" i="3"/>
  <c r="U118" i="3"/>
  <c r="T119" i="3"/>
  <c r="U119" i="3"/>
  <c r="T120" i="3"/>
  <c r="U120" i="3"/>
  <c r="T121" i="3"/>
  <c r="U121" i="3"/>
  <c r="T122" i="3"/>
  <c r="U122" i="3"/>
  <c r="T123" i="3"/>
  <c r="U123" i="3"/>
  <c r="T124" i="3"/>
  <c r="U124" i="3"/>
  <c r="T125" i="3"/>
  <c r="U125" i="3"/>
  <c r="T126" i="3"/>
  <c r="U126" i="3"/>
  <c r="T127" i="3"/>
  <c r="U127" i="3"/>
  <c r="T128" i="3"/>
  <c r="U128" i="3"/>
  <c r="T129" i="3"/>
  <c r="U129" i="3"/>
  <c r="T130" i="3"/>
  <c r="U130" i="3"/>
  <c r="T131" i="3"/>
  <c r="U131" i="3"/>
  <c r="T132" i="3"/>
  <c r="U132" i="3"/>
  <c r="T133" i="3"/>
  <c r="U133" i="3"/>
  <c r="T134" i="3"/>
  <c r="U134" i="3"/>
  <c r="T135" i="3"/>
  <c r="U135" i="3"/>
  <c r="T136" i="3"/>
  <c r="U136" i="3"/>
  <c r="T137" i="3"/>
  <c r="U137" i="3"/>
  <c r="T138" i="3"/>
  <c r="U138" i="3"/>
  <c r="T139" i="3"/>
  <c r="U139" i="3"/>
  <c r="T140" i="3"/>
  <c r="U140" i="3"/>
  <c r="T141" i="3"/>
  <c r="U141" i="3"/>
  <c r="T142" i="3"/>
  <c r="U142" i="3"/>
  <c r="T143" i="3"/>
  <c r="U143" i="3"/>
  <c r="T144" i="3"/>
  <c r="U144" i="3"/>
  <c r="T145" i="3"/>
  <c r="U145" i="3"/>
  <c r="T146" i="3"/>
  <c r="U146" i="3"/>
  <c r="T147" i="3"/>
  <c r="U147" i="3"/>
  <c r="T148" i="3"/>
  <c r="U148" i="3"/>
  <c r="T149" i="3"/>
  <c r="U149" i="3"/>
  <c r="T150" i="3"/>
  <c r="U150" i="3"/>
  <c r="T151" i="3"/>
  <c r="U151" i="3"/>
  <c r="T152" i="3"/>
  <c r="U152" i="3"/>
  <c r="T153" i="3"/>
  <c r="U153" i="3"/>
  <c r="T154" i="3"/>
  <c r="U154" i="3"/>
  <c r="T155" i="3"/>
  <c r="U155" i="3"/>
  <c r="T156" i="3"/>
  <c r="U156" i="3"/>
  <c r="T157" i="3"/>
  <c r="U157" i="3"/>
  <c r="T158" i="3"/>
  <c r="U158" i="3"/>
  <c r="T159" i="3"/>
  <c r="U159" i="3"/>
  <c r="T160" i="3"/>
  <c r="U160" i="3"/>
  <c r="T161" i="3"/>
  <c r="U161" i="3"/>
  <c r="T162" i="3"/>
  <c r="U162" i="3"/>
  <c r="T163" i="3"/>
  <c r="U163" i="3"/>
  <c r="T164" i="3"/>
  <c r="U164" i="3"/>
  <c r="T165" i="3"/>
  <c r="U165" i="3"/>
  <c r="T166" i="3"/>
  <c r="U166" i="3"/>
  <c r="T167" i="3"/>
  <c r="U167" i="3"/>
  <c r="T168" i="3"/>
  <c r="U168" i="3"/>
  <c r="T169" i="3"/>
  <c r="U169" i="3"/>
  <c r="T170" i="3"/>
  <c r="U170" i="3"/>
  <c r="T171" i="3"/>
  <c r="U171" i="3"/>
  <c r="T172" i="3"/>
  <c r="U172" i="3"/>
  <c r="T173" i="3"/>
  <c r="U173" i="3"/>
  <c r="T174" i="3"/>
  <c r="U174" i="3"/>
  <c r="T175" i="3"/>
  <c r="U175" i="3"/>
  <c r="T176" i="3"/>
  <c r="U176" i="3"/>
  <c r="T177" i="3"/>
  <c r="U177" i="3"/>
  <c r="T178" i="3"/>
  <c r="U178" i="3"/>
  <c r="T179" i="3"/>
  <c r="U179" i="3"/>
  <c r="T180" i="3"/>
  <c r="U180" i="3"/>
  <c r="T181" i="3"/>
  <c r="U181" i="3"/>
  <c r="T182" i="3"/>
  <c r="U182" i="3"/>
  <c r="T183" i="3"/>
  <c r="U183" i="3"/>
  <c r="T184" i="3"/>
  <c r="U184" i="3"/>
  <c r="T185" i="3"/>
  <c r="U185" i="3"/>
  <c r="T186" i="3"/>
  <c r="U186" i="3"/>
  <c r="T187" i="3"/>
  <c r="U187" i="3"/>
  <c r="T188" i="3"/>
  <c r="U188" i="3"/>
  <c r="T189" i="3"/>
  <c r="U189" i="3"/>
  <c r="T190" i="3"/>
  <c r="U190" i="3"/>
  <c r="T191" i="3"/>
  <c r="U191" i="3"/>
  <c r="T192" i="3"/>
  <c r="U192" i="3"/>
  <c r="T193" i="3"/>
  <c r="U193" i="3"/>
  <c r="T194" i="3"/>
  <c r="U194" i="3"/>
  <c r="T195" i="3"/>
  <c r="U195" i="3"/>
  <c r="T196" i="3"/>
  <c r="U196" i="3"/>
  <c r="T197" i="3"/>
  <c r="U197" i="3"/>
  <c r="T198" i="3"/>
  <c r="U198" i="3"/>
  <c r="T199" i="3"/>
  <c r="U199" i="3"/>
  <c r="T200" i="3"/>
  <c r="U200" i="3"/>
  <c r="T201" i="3"/>
  <c r="U201" i="3"/>
  <c r="T202" i="3"/>
  <c r="U202" i="3"/>
  <c r="T203" i="3"/>
  <c r="U203" i="3"/>
  <c r="T204" i="3"/>
  <c r="U204" i="3"/>
  <c r="T205" i="3"/>
  <c r="U205" i="3"/>
  <c r="T206" i="3"/>
  <c r="U206" i="3"/>
  <c r="T207" i="3"/>
  <c r="U207" i="3"/>
  <c r="T208" i="3"/>
  <c r="U208" i="3"/>
  <c r="T209" i="3"/>
  <c r="U209" i="3"/>
  <c r="T210" i="3"/>
  <c r="U210" i="3"/>
  <c r="T211" i="3"/>
  <c r="U211" i="3"/>
  <c r="T212" i="3"/>
  <c r="U212" i="3"/>
  <c r="T2" i="3"/>
  <c r="U2" i="3"/>
  <c r="Q3" i="3"/>
  <c r="R3" i="3"/>
  <c r="Q4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Q36" i="3"/>
  <c r="R36" i="3"/>
  <c r="Q37" i="3"/>
  <c r="R37" i="3"/>
  <c r="Q38" i="3"/>
  <c r="R38" i="3"/>
  <c r="Q39" i="3"/>
  <c r="R39" i="3"/>
  <c r="Q40" i="3"/>
  <c r="R40" i="3"/>
  <c r="Q41" i="3"/>
  <c r="R41" i="3"/>
  <c r="Q42" i="3"/>
  <c r="R42" i="3"/>
  <c r="Q43" i="3"/>
  <c r="R43" i="3"/>
  <c r="Q44" i="3"/>
  <c r="R44" i="3"/>
  <c r="Q45" i="3"/>
  <c r="R45" i="3"/>
  <c r="Q46" i="3"/>
  <c r="R46" i="3"/>
  <c r="Q47" i="3"/>
  <c r="R47" i="3"/>
  <c r="Q48" i="3"/>
  <c r="R48" i="3"/>
  <c r="Q49" i="3"/>
  <c r="R49" i="3"/>
  <c r="Q50" i="3"/>
  <c r="R50" i="3"/>
  <c r="Q51" i="3"/>
  <c r="R51" i="3"/>
  <c r="Q52" i="3"/>
  <c r="R52" i="3"/>
  <c r="Q53" i="3"/>
  <c r="R53" i="3"/>
  <c r="Q54" i="3"/>
  <c r="R54" i="3"/>
  <c r="Q55" i="3"/>
  <c r="R55" i="3"/>
  <c r="Q56" i="3"/>
  <c r="R56" i="3"/>
  <c r="Q57" i="3"/>
  <c r="R57" i="3"/>
  <c r="Q58" i="3"/>
  <c r="R58" i="3"/>
  <c r="Q59" i="3"/>
  <c r="R59" i="3"/>
  <c r="Q60" i="3"/>
  <c r="R60" i="3"/>
  <c r="Q61" i="3"/>
  <c r="R61" i="3"/>
  <c r="Q62" i="3"/>
  <c r="R62" i="3"/>
  <c r="Q63" i="3"/>
  <c r="R63" i="3"/>
  <c r="Q64" i="3"/>
  <c r="R64" i="3"/>
  <c r="Q65" i="3"/>
  <c r="R65" i="3"/>
  <c r="Q66" i="3"/>
  <c r="R66" i="3"/>
  <c r="Q67" i="3"/>
  <c r="R67" i="3"/>
  <c r="Q68" i="3"/>
  <c r="R68" i="3"/>
  <c r="Q69" i="3"/>
  <c r="R69" i="3"/>
  <c r="Q70" i="3"/>
  <c r="R70" i="3"/>
  <c r="Q71" i="3"/>
  <c r="R71" i="3"/>
  <c r="Q72" i="3"/>
  <c r="R72" i="3"/>
  <c r="Q73" i="3"/>
  <c r="R73" i="3"/>
  <c r="Q74" i="3"/>
  <c r="R74" i="3"/>
  <c r="Q75" i="3"/>
  <c r="R75" i="3"/>
  <c r="Q76" i="3"/>
  <c r="R76" i="3"/>
  <c r="Q77" i="3"/>
  <c r="R77" i="3"/>
  <c r="Q78" i="3"/>
  <c r="R78" i="3"/>
  <c r="Q79" i="3"/>
  <c r="R79" i="3"/>
  <c r="Q80" i="3"/>
  <c r="R80" i="3"/>
  <c r="Q81" i="3"/>
  <c r="R81" i="3"/>
  <c r="Q82" i="3"/>
  <c r="R82" i="3"/>
  <c r="Q83" i="3"/>
  <c r="R83" i="3"/>
  <c r="Q84" i="3"/>
  <c r="R84" i="3"/>
  <c r="Q85" i="3"/>
  <c r="R85" i="3"/>
  <c r="Q86" i="3"/>
  <c r="R86" i="3"/>
  <c r="Q87" i="3"/>
  <c r="R87" i="3"/>
  <c r="Q88" i="3"/>
  <c r="R88" i="3"/>
  <c r="Q89" i="3"/>
  <c r="R89" i="3"/>
  <c r="Q90" i="3"/>
  <c r="R90" i="3"/>
  <c r="Q91" i="3"/>
  <c r="R91" i="3"/>
  <c r="Q92" i="3"/>
  <c r="R92" i="3"/>
  <c r="Q93" i="3"/>
  <c r="R93" i="3"/>
  <c r="Q94" i="3"/>
  <c r="R94" i="3"/>
  <c r="Q95" i="3"/>
  <c r="R95" i="3"/>
  <c r="Q96" i="3"/>
  <c r="R96" i="3"/>
  <c r="Q97" i="3"/>
  <c r="R97" i="3"/>
  <c r="Q98" i="3"/>
  <c r="R98" i="3"/>
  <c r="Q99" i="3"/>
  <c r="R99" i="3"/>
  <c r="Q100" i="3"/>
  <c r="R100" i="3"/>
  <c r="Q101" i="3"/>
  <c r="R101" i="3"/>
  <c r="Q102" i="3"/>
  <c r="R102" i="3"/>
  <c r="Q103" i="3"/>
  <c r="R103" i="3"/>
  <c r="Q104" i="3"/>
  <c r="R104" i="3"/>
  <c r="Q105" i="3"/>
  <c r="R105" i="3"/>
  <c r="Q106" i="3"/>
  <c r="R106" i="3"/>
  <c r="Q107" i="3"/>
  <c r="R107" i="3"/>
  <c r="Q108" i="3"/>
  <c r="R108" i="3"/>
  <c r="Q109" i="3"/>
  <c r="R109" i="3"/>
  <c r="Q110" i="3"/>
  <c r="R110" i="3"/>
  <c r="Q111" i="3"/>
  <c r="R111" i="3"/>
  <c r="Q112" i="3"/>
  <c r="R112" i="3"/>
  <c r="Q113" i="3"/>
  <c r="R113" i="3"/>
  <c r="Q114" i="3"/>
  <c r="R114" i="3"/>
  <c r="Q115" i="3"/>
  <c r="R115" i="3"/>
  <c r="Q116" i="3"/>
  <c r="R116" i="3"/>
  <c r="Q117" i="3"/>
  <c r="R117" i="3"/>
  <c r="Q118" i="3"/>
  <c r="R118" i="3"/>
  <c r="Q119" i="3"/>
  <c r="R119" i="3"/>
  <c r="Q120" i="3"/>
  <c r="R120" i="3"/>
  <c r="Q121" i="3"/>
  <c r="R121" i="3"/>
  <c r="Q122" i="3"/>
  <c r="R122" i="3"/>
  <c r="Q123" i="3"/>
  <c r="R123" i="3"/>
  <c r="Q124" i="3"/>
  <c r="R124" i="3"/>
  <c r="Q125" i="3"/>
  <c r="R125" i="3"/>
  <c r="Q126" i="3"/>
  <c r="R126" i="3"/>
  <c r="Q127" i="3"/>
  <c r="R127" i="3"/>
  <c r="Q128" i="3"/>
  <c r="R128" i="3"/>
  <c r="Q129" i="3"/>
  <c r="R129" i="3"/>
  <c r="Q130" i="3"/>
  <c r="R130" i="3"/>
  <c r="Q131" i="3"/>
  <c r="R131" i="3"/>
  <c r="Q132" i="3"/>
  <c r="R132" i="3"/>
  <c r="Q133" i="3"/>
  <c r="R133" i="3"/>
  <c r="Q134" i="3"/>
  <c r="R134" i="3"/>
  <c r="Q135" i="3"/>
  <c r="R135" i="3"/>
  <c r="Q136" i="3"/>
  <c r="R136" i="3"/>
  <c r="Q137" i="3"/>
  <c r="R137" i="3"/>
  <c r="Q138" i="3"/>
  <c r="R138" i="3"/>
  <c r="Q139" i="3"/>
  <c r="R139" i="3"/>
  <c r="Q140" i="3"/>
  <c r="R140" i="3"/>
  <c r="Q141" i="3"/>
  <c r="R141" i="3"/>
  <c r="Q142" i="3"/>
  <c r="R142" i="3"/>
  <c r="Q143" i="3"/>
  <c r="R143" i="3"/>
  <c r="Q144" i="3"/>
  <c r="R144" i="3"/>
  <c r="Q145" i="3"/>
  <c r="R145" i="3"/>
  <c r="Q146" i="3"/>
  <c r="R146" i="3"/>
  <c r="Q147" i="3"/>
  <c r="R147" i="3"/>
  <c r="Q148" i="3"/>
  <c r="R148" i="3"/>
  <c r="Q149" i="3"/>
  <c r="R149" i="3"/>
  <c r="Q150" i="3"/>
  <c r="R150" i="3"/>
  <c r="Q151" i="3"/>
  <c r="R151" i="3"/>
  <c r="Q152" i="3"/>
  <c r="R152" i="3"/>
  <c r="Q153" i="3"/>
  <c r="R153" i="3"/>
  <c r="Q154" i="3"/>
  <c r="R154" i="3"/>
  <c r="Q155" i="3"/>
  <c r="R155" i="3"/>
  <c r="Q156" i="3"/>
  <c r="R156" i="3"/>
  <c r="Q157" i="3"/>
  <c r="R157" i="3"/>
  <c r="Q158" i="3"/>
  <c r="R158" i="3"/>
  <c r="Q159" i="3"/>
  <c r="R159" i="3"/>
  <c r="Q160" i="3"/>
  <c r="R160" i="3"/>
  <c r="Q161" i="3"/>
  <c r="R161" i="3"/>
  <c r="Q162" i="3"/>
  <c r="R162" i="3"/>
  <c r="Q163" i="3"/>
  <c r="R163" i="3"/>
  <c r="Q164" i="3"/>
  <c r="R164" i="3"/>
  <c r="Q165" i="3"/>
  <c r="R165" i="3"/>
  <c r="Q166" i="3"/>
  <c r="R166" i="3"/>
  <c r="Q167" i="3"/>
  <c r="R167" i="3"/>
  <c r="Q168" i="3"/>
  <c r="R168" i="3"/>
  <c r="Q169" i="3"/>
  <c r="R169" i="3"/>
  <c r="Q170" i="3"/>
  <c r="R170" i="3"/>
  <c r="Q171" i="3"/>
  <c r="R171" i="3"/>
  <c r="Q172" i="3"/>
  <c r="R172" i="3"/>
  <c r="Q173" i="3"/>
  <c r="R173" i="3"/>
  <c r="Q174" i="3"/>
  <c r="R174" i="3"/>
  <c r="Q175" i="3"/>
  <c r="R175" i="3"/>
  <c r="Q176" i="3"/>
  <c r="R176" i="3"/>
  <c r="Q177" i="3"/>
  <c r="R177" i="3"/>
  <c r="Q178" i="3"/>
  <c r="R178" i="3"/>
  <c r="Q179" i="3"/>
  <c r="R179" i="3"/>
  <c r="Q180" i="3"/>
  <c r="R180" i="3"/>
  <c r="Q181" i="3"/>
  <c r="R181" i="3"/>
  <c r="Q182" i="3"/>
  <c r="R182" i="3"/>
  <c r="Q183" i="3"/>
  <c r="R183" i="3"/>
  <c r="Q184" i="3"/>
  <c r="R184" i="3"/>
  <c r="Q185" i="3"/>
  <c r="R185" i="3"/>
  <c r="Q186" i="3"/>
  <c r="R186" i="3"/>
  <c r="Q187" i="3"/>
  <c r="R187" i="3"/>
  <c r="Q188" i="3"/>
  <c r="R188" i="3"/>
  <c r="Q189" i="3"/>
  <c r="R189" i="3"/>
  <c r="Q190" i="3"/>
  <c r="R190" i="3"/>
  <c r="Q191" i="3"/>
  <c r="R191" i="3"/>
  <c r="Q192" i="3"/>
  <c r="R192" i="3"/>
  <c r="Q193" i="3"/>
  <c r="R193" i="3"/>
  <c r="Q194" i="3"/>
  <c r="R194" i="3"/>
  <c r="Q195" i="3"/>
  <c r="R195" i="3"/>
  <c r="Q196" i="3"/>
  <c r="R196" i="3"/>
  <c r="Q197" i="3"/>
  <c r="R197" i="3"/>
  <c r="Q198" i="3"/>
  <c r="R198" i="3"/>
  <c r="Q199" i="3"/>
  <c r="R199" i="3"/>
  <c r="Q200" i="3"/>
  <c r="R200" i="3"/>
  <c r="Q201" i="3"/>
  <c r="R201" i="3"/>
  <c r="Q202" i="3"/>
  <c r="R202" i="3"/>
  <c r="Q203" i="3"/>
  <c r="R203" i="3"/>
  <c r="Q204" i="3"/>
  <c r="R204" i="3"/>
  <c r="Q205" i="3"/>
  <c r="R205" i="3"/>
  <c r="Q206" i="3"/>
  <c r="R206" i="3"/>
  <c r="Q207" i="3"/>
  <c r="R207" i="3"/>
  <c r="Q208" i="3"/>
  <c r="R208" i="3"/>
  <c r="Q209" i="3"/>
  <c r="R209" i="3"/>
  <c r="Q210" i="3"/>
  <c r="R210" i="3"/>
  <c r="Q211" i="3"/>
  <c r="R211" i="3"/>
  <c r="Q212" i="3"/>
  <c r="R212" i="3"/>
  <c r="R2" i="3"/>
  <c r="Q2" i="3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N122" i="3"/>
  <c r="O122" i="3"/>
  <c r="N123" i="3"/>
  <c r="O123" i="3"/>
  <c r="N124" i="3"/>
  <c r="O124" i="3"/>
  <c r="N125" i="3"/>
  <c r="O125" i="3"/>
  <c r="N126" i="3"/>
  <c r="O126" i="3"/>
  <c r="N127" i="3"/>
  <c r="O127" i="3"/>
  <c r="N128" i="3"/>
  <c r="O128" i="3"/>
  <c r="N129" i="3"/>
  <c r="O129" i="3"/>
  <c r="N130" i="3"/>
  <c r="O130" i="3"/>
  <c r="N131" i="3"/>
  <c r="O131" i="3"/>
  <c r="N132" i="3"/>
  <c r="O132" i="3"/>
  <c r="N133" i="3"/>
  <c r="O133" i="3"/>
  <c r="N134" i="3"/>
  <c r="O134" i="3"/>
  <c r="N135" i="3"/>
  <c r="O135" i="3"/>
  <c r="N136" i="3"/>
  <c r="O136" i="3"/>
  <c r="N137" i="3"/>
  <c r="O137" i="3"/>
  <c r="N138" i="3"/>
  <c r="O138" i="3"/>
  <c r="N139" i="3"/>
  <c r="O139" i="3"/>
  <c r="N140" i="3"/>
  <c r="O140" i="3"/>
  <c r="N141" i="3"/>
  <c r="O141" i="3"/>
  <c r="N142" i="3"/>
  <c r="O142" i="3"/>
  <c r="N143" i="3"/>
  <c r="O143" i="3"/>
  <c r="N144" i="3"/>
  <c r="O144" i="3"/>
  <c r="N145" i="3"/>
  <c r="O145" i="3"/>
  <c r="N146" i="3"/>
  <c r="O146" i="3"/>
  <c r="N147" i="3"/>
  <c r="O147" i="3"/>
  <c r="N148" i="3"/>
  <c r="O148" i="3"/>
  <c r="N149" i="3"/>
  <c r="O149" i="3"/>
  <c r="N150" i="3"/>
  <c r="O150" i="3"/>
  <c r="N151" i="3"/>
  <c r="O151" i="3"/>
  <c r="N152" i="3"/>
  <c r="O152" i="3"/>
  <c r="N153" i="3"/>
  <c r="O153" i="3"/>
  <c r="N154" i="3"/>
  <c r="O154" i="3"/>
  <c r="N155" i="3"/>
  <c r="O155" i="3"/>
  <c r="N156" i="3"/>
  <c r="O156" i="3"/>
  <c r="N157" i="3"/>
  <c r="O157" i="3"/>
  <c r="N158" i="3"/>
  <c r="O158" i="3"/>
  <c r="N159" i="3"/>
  <c r="O159" i="3"/>
  <c r="N160" i="3"/>
  <c r="O160" i="3"/>
  <c r="N161" i="3"/>
  <c r="O161" i="3"/>
  <c r="N162" i="3"/>
  <c r="O162" i="3"/>
  <c r="N163" i="3"/>
  <c r="O163" i="3"/>
  <c r="N164" i="3"/>
  <c r="O164" i="3"/>
  <c r="N165" i="3"/>
  <c r="O165" i="3"/>
  <c r="N166" i="3"/>
  <c r="O166" i="3"/>
  <c r="N167" i="3"/>
  <c r="O167" i="3"/>
  <c r="N168" i="3"/>
  <c r="O168" i="3"/>
  <c r="N169" i="3"/>
  <c r="O169" i="3"/>
  <c r="N170" i="3"/>
  <c r="O170" i="3"/>
  <c r="N171" i="3"/>
  <c r="O171" i="3"/>
  <c r="N172" i="3"/>
  <c r="O172" i="3"/>
  <c r="N173" i="3"/>
  <c r="O173" i="3"/>
  <c r="N174" i="3"/>
  <c r="O174" i="3"/>
  <c r="N175" i="3"/>
  <c r="O175" i="3"/>
  <c r="N176" i="3"/>
  <c r="O176" i="3"/>
  <c r="N177" i="3"/>
  <c r="O177" i="3"/>
  <c r="N178" i="3"/>
  <c r="O178" i="3"/>
  <c r="N179" i="3"/>
  <c r="O179" i="3"/>
  <c r="N180" i="3"/>
  <c r="O180" i="3"/>
  <c r="N181" i="3"/>
  <c r="O181" i="3"/>
  <c r="N182" i="3"/>
  <c r="O182" i="3"/>
  <c r="N183" i="3"/>
  <c r="O183" i="3"/>
  <c r="N184" i="3"/>
  <c r="O184" i="3"/>
  <c r="N185" i="3"/>
  <c r="O185" i="3"/>
  <c r="N186" i="3"/>
  <c r="O186" i="3"/>
  <c r="N187" i="3"/>
  <c r="O187" i="3"/>
  <c r="N188" i="3"/>
  <c r="O188" i="3"/>
  <c r="N189" i="3"/>
  <c r="O189" i="3"/>
  <c r="N190" i="3"/>
  <c r="O190" i="3"/>
  <c r="N191" i="3"/>
  <c r="O191" i="3"/>
  <c r="N192" i="3"/>
  <c r="O192" i="3"/>
  <c r="N193" i="3"/>
  <c r="O193" i="3"/>
  <c r="N194" i="3"/>
  <c r="O194" i="3"/>
  <c r="N195" i="3"/>
  <c r="O195" i="3"/>
  <c r="N196" i="3"/>
  <c r="O196" i="3"/>
  <c r="N197" i="3"/>
  <c r="O197" i="3"/>
  <c r="N198" i="3"/>
  <c r="O198" i="3"/>
  <c r="N199" i="3"/>
  <c r="O199" i="3"/>
  <c r="N200" i="3"/>
  <c r="O200" i="3"/>
  <c r="N201" i="3"/>
  <c r="O201" i="3"/>
  <c r="N202" i="3"/>
  <c r="O202" i="3"/>
  <c r="N203" i="3"/>
  <c r="O203" i="3"/>
  <c r="N204" i="3"/>
  <c r="O204" i="3"/>
  <c r="N205" i="3"/>
  <c r="O205" i="3"/>
  <c r="N206" i="3"/>
  <c r="O206" i="3"/>
  <c r="N207" i="3"/>
  <c r="O207" i="3"/>
  <c r="N208" i="3"/>
  <c r="O208" i="3"/>
  <c r="N209" i="3"/>
  <c r="O209" i="3"/>
  <c r="N210" i="3"/>
  <c r="O210" i="3"/>
  <c r="N211" i="3"/>
  <c r="O211" i="3"/>
  <c r="N212" i="3"/>
  <c r="O212" i="3"/>
  <c r="O2" i="3"/>
  <c r="N2" i="3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L2" i="3"/>
  <c r="K2" i="3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I2" i="3"/>
  <c r="H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F2" i="3"/>
  <c r="E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C2" i="3"/>
  <c r="B2" i="3"/>
  <c r="G205" i="6" l="1"/>
</calcChain>
</file>

<file path=xl/sharedStrings.xml><?xml version="1.0" encoding="utf-8"?>
<sst xmlns="http://schemas.openxmlformats.org/spreadsheetml/2006/main" count="6427" uniqueCount="1336">
  <si>
    <t>| Questions and answer | Percentage / Value |</t>
  </si>
  <si>
    <t>|---|---:|</t>
  </si>
  <si>
    <t>| Q1. In what region does your Company operate? |  |</t>
  </si>
  <si>
    <t>| North America | 15.0% |</t>
  </si>
  <si>
    <t>| Latin America | 12.0% |</t>
  </si>
  <si>
    <t>| Australia / Oceania | 5.0% |</t>
  </si>
  <si>
    <t>| Middle East | 10.0% |</t>
  </si>
  <si>
    <t>| Asia | 18.0% |</t>
  </si>
  <si>
    <t>| Eastern Europe | 10.0% |</t>
  </si>
  <si>
    <t>| Africa | 12.0% |</t>
  </si>
  <si>
    <t>| Western Europe | 18.0% |</t>
  </si>
  <si>
    <t>| Q2. What is the main focus of your company? |  |</t>
  </si>
  <si>
    <t>| Triple play | 25.0% |</t>
  </si>
  <si>
    <t>| MVNO | 12.0% |</t>
  </si>
  <si>
    <t>| IoT Connectivity Supplier | 5.0% |</t>
  </si>
  <si>
    <t>| Other services | 8.0% |</t>
  </si>
  <si>
    <t>| Operator / Wholesale services | 10.0% |</t>
  </si>
  <si>
    <t>| Cable business e.g., line rental / Fiber sales | 5.0% |</t>
  </si>
  <si>
    <t>| TV services (IP and cable) | 3.0% |</t>
  </si>
  <si>
    <t>| Mobility services | 20.0% |</t>
  </si>
  <si>
    <t>| Fixed Line telephony &amp; Internet connections | 12.0% |</t>
  </si>
  <si>
    <t>| Q3. How many subscribers (in millions) does your Company have for subscription-based services? |  |</t>
  </si>
  <si>
    <t>| 0.5 to 1.5 million | 15.0% |</t>
  </si>
  <si>
    <t>| 1.5 to 5 million | 25.0% |</t>
  </si>
  <si>
    <t>| 5 to 10 million | 20.0% |</t>
  </si>
  <si>
    <t>| 10 to 20 million | 18.0% |</t>
  </si>
  <si>
    <t>| 20 to 50 million | 12.0% |</t>
  </si>
  <si>
    <t>| &gt; 50 million | 10.0% |</t>
  </si>
  <si>
    <t>| Q4. What is the annual revenue (in million US$) of your Company? |  |</t>
  </si>
  <si>
    <t>| &lt; 50 million US$ | 10.0% |</t>
  </si>
  <si>
    <t>| 50 to 250 million US$ | 18.0% |</t>
  </si>
  <si>
    <t>| 250 to 1,000 million US$ | 22.0% |</t>
  </si>
  <si>
    <t>| 1,000 to 5,000 million US$ | 20.0% |</t>
  </si>
  <si>
    <t>| 5,000 to 10,000 million US$ | 15.0% |</t>
  </si>
  <si>
    <t>| &gt; 10,000 million US$ | 10.0% |</t>
  </si>
  <si>
    <t>| I do not know | 5.0% |</t>
  </si>
  <si>
    <t>| Q5. From which perspective will you answer the rest of the survey? |  |</t>
  </si>
  <si>
    <t>| Revenue Assurance | 50.0% |</t>
  </si>
  <si>
    <t>| Fraud Management | 35.0% |</t>
  </si>
  <si>
    <t>| Other | 15.0% |</t>
  </si>
  <si>
    <t>| Q6. AI adoption status |  |</t>
  </si>
  <si>
    <t>| Revenue Assurance |  |</t>
  </si>
  <si>
    <t>| Not using AI today | 15.0% |</t>
  </si>
  <si>
    <t>| Exploring / pilots | 35.0% |</t>
  </si>
  <si>
    <t>| In limited production use | 30.0% |</t>
  </si>
  <si>
    <t>| Widely used in BA operations | 12.0% |</t>
  </si>
  <si>
    <t>| AI-driven BA is a strategic priority | 8.0% |</t>
  </si>
  <si>
    <t>| Fraud Management |  |</t>
  </si>
  <si>
    <t>| Not using AI today | 5.0% |</t>
  </si>
  <si>
    <t>| Exploring / pilots | 20.0% |</t>
  </si>
  <si>
    <t>| In limited production use | 40.0% |</t>
  </si>
  <si>
    <t>| Widely used in BA operations | 20.0% |</t>
  </si>
  <si>
    <t>| AI-driven BA is a strategic priority | 15.0% |</t>
  </si>
  <si>
    <t>| Other |  |</t>
  </si>
  <si>
    <t>| Not using AI today | 25.0% |</t>
  </si>
  <si>
    <t>| Exploring / pilots | 40.0% |</t>
  </si>
  <si>
    <t>| In limited production use | 20.0% |</t>
  </si>
  <si>
    <t>| Widely used in BA operations | 10.0% |</t>
  </si>
  <si>
    <t>| AI-driven BA is a strategic priority | 5.0% |</t>
  </si>
  <si>
    <t>| Q7. How are AI capabilities for BA created or acquired? (Multi-select) |  |</t>
  </si>
  <si>
    <t>| Internally developed | 45.0% |</t>
  </si>
  <si>
    <t>| BA vendor solutions | 65.0% |</t>
  </si>
  <si>
    <t>| General AI vendors / platforms | 30.0% |</t>
  </si>
  <si>
    <t>| Academic partnerships | 10.0% |</t>
  </si>
  <si>
    <t>| System integrators / consultants | 25.0% |</t>
  </si>
  <si>
    <t>| Other | 2.0% |</t>
  </si>
  <si>
    <t>| Internally developed | 35.0% |</t>
  </si>
  <si>
    <t>| BA vendor solutions | 80.0% |</t>
  </si>
  <si>
    <t>| General AI vendors / platforms | 20.0% |</t>
  </si>
  <si>
    <t>| Academic partnerships | 5.0% |</t>
  </si>
  <si>
    <t>| System integrators / consultants | 20.0% |</t>
  </si>
  <si>
    <t>| Internally developed | 40.0% |</t>
  </si>
  <si>
    <t>| BA vendor solutions | 50.0% |</t>
  </si>
  <si>
    <t>| General AI vendors / platforms | 40.0% |</t>
  </si>
  <si>
    <t>| Academic partnerships | 15.0% |</t>
  </si>
  <si>
    <t>| System integrators / consultants | 30.0% |</t>
  </si>
  <si>
    <t>| Other | 5.0% |</t>
  </si>
  <si>
    <t>| Q8. Primary BA domains where AI is applied (Multi-select) |  |</t>
  </si>
  <si>
    <t>| Revenue leakage detection | 90.0% |</t>
  </si>
  <si>
    <t>| Fraud detection | 40.0% |</t>
  </si>
  <si>
    <t>| Data quality &amp; reconciliation | 60.0% |</t>
  </si>
  <si>
    <t>| Partner / interconnect assurance | 35.0% |</t>
  </si>
  <si>
    <t>| Wholesale / roaming | 30.0% |</t>
  </si>
  <si>
    <t>| Customer impact analysis | 25.0% |</t>
  </si>
  <si>
    <t>| Revenue leakage detection | 20.0% |</t>
  </si>
  <si>
    <t>| Fraud detection | 95.0% |</t>
  </si>
  <si>
    <t>| Data quality &amp; reconciliation | 30.0% |</t>
  </si>
  <si>
    <t>| Partner / interconnect assurance | 45.0% |</t>
  </si>
  <si>
    <t>| Wholesale / roaming | 40.0% |</t>
  </si>
  <si>
    <t>| Customer impact analysis | 15.0% |</t>
  </si>
  <si>
    <t>| Revenue leakage detection | 40.0% |</t>
  </si>
  <si>
    <t>| Fraud detection | 30.0% |</t>
  </si>
  <si>
    <t>| Data quality &amp; reconciliation | 70.0% |</t>
  </si>
  <si>
    <t>| Partner / interconnect assurance | 20.0% |</t>
  </si>
  <si>
    <t>| Wholesale / roaming | 15.0% |</t>
  </si>
  <si>
    <t>| Customer impact analysis | 50.0% |</t>
  </si>
  <si>
    <t>| Other | 10.0% |</t>
  </si>
  <si>
    <t>| Q9. Use of AI in third-party interactions, which of the following apply? (Multi-select) |  |</t>
  </si>
  <si>
    <t>| Detecting fraud by third parties | 25.0% |</t>
  </si>
  <si>
    <t>| Detecting fraud against third parties | 20.0% |</t>
  </si>
  <si>
    <t>| Monitoring partner behaviour / anomalies | 65.0% |</t>
  </si>
  <si>
    <t>| Dispute prevention &amp; resolution | 55.0% |</t>
  </si>
  <si>
    <t>| Not used for third-party interactions | 15.0% |</t>
  </si>
  <si>
    <t>| Detecting fraud by third parties | 85.0% |</t>
  </si>
  <si>
    <t>| Detecting fraud against third parties | 75.0% |</t>
  </si>
  <si>
    <t>| Monitoring partner behaviour / anomalies | 60.0% |</t>
  </si>
  <si>
    <t>| Dispute prevention &amp; resolution | 25.0% |</t>
  </si>
  <si>
    <t>| Not used for third-party interactions | 5.0% |</t>
  </si>
  <si>
    <t>| Detecting fraud by third parties | 30.0% |</t>
  </si>
  <si>
    <t>| Monitoring partner behaviour / anomalies | 50.0% |</t>
  </si>
  <si>
    <t>| Dispute prevention &amp; resolution | 40.0% |</t>
  </si>
  <si>
    <t>| Not used for third-party interactions | 25.0% |</t>
  </si>
  <si>
    <t>| Q10. How is AI used across the BA control lifecycle? (Multi-select) |  |</t>
  </si>
  <si>
    <t>| Designing / creating controls | 20.0% |</t>
  </si>
  <si>
    <t>| Operating / executing controls | 55.0% |</t>
  </si>
  <si>
    <t>| Monitoring control performance | 45.0% |</t>
  </si>
  <si>
    <t>| Exception prioritization | 75.0% |</t>
  </si>
  <si>
    <t>| Risk estimation &amp; impact assessment | 40.0% |</t>
  </si>
  <si>
    <t>| Designing / creating controls | 25.0% |</t>
  </si>
  <si>
    <t>| Operating / executing controls | 70.0% |</t>
  </si>
  <si>
    <t>| Monitoring control performance | 50.0% |</t>
  </si>
  <si>
    <t>| Exception prioritization | 85.0% |</t>
  </si>
  <si>
    <t>| Risk estimation &amp; impact assessment | 60.0% |</t>
  </si>
  <si>
    <t>| Designing / creating controls | 30.0% |</t>
  </si>
  <si>
    <t>| Operating / executing controls | 40.0% |</t>
  </si>
  <si>
    <t>| Monitoring control performance | 55.0% |</t>
  </si>
  <si>
    <t>| Exception prioritization | 50.0% |</t>
  </si>
  <si>
    <t>| Risk estimation &amp; impact assessment | 35.0% |</t>
  </si>
  <si>
    <t>| Q11. AI usage for insights &amp; reporting (Multi-select) |  |</t>
  </si>
  <si>
    <t>| Automated reports | 65.0% |</t>
  </si>
  <si>
    <t>| Dashboards &amp; visualization | 70.0% |</t>
  </si>
  <si>
    <t>| Predictive insights | 45.0% |</t>
  </si>
  <si>
    <t>| Root cause analysis | 55.0% |</t>
  </si>
  <si>
    <t>| Executive summaries | 30.0% |</t>
  </si>
  <si>
    <t>| Not used for reporting | 10.0% |</t>
  </si>
  <si>
    <t>| Automated reports | 55.0% |</t>
  </si>
  <si>
    <t>| Dashboards &amp; visualization | 60.0% |</t>
  </si>
  <si>
    <t>| Predictive insights | 75.0% |</t>
  </si>
  <si>
    <t>| Root cause analysis | 65.0% |</t>
  </si>
  <si>
    <t>| Executive summaries | 35.0% |</t>
  </si>
  <si>
    <t>| Not used for reporting | 5.0% |</t>
  </si>
  <si>
    <t>| Automated reports | 70.0% |</t>
  </si>
  <si>
    <t>| Dashboards &amp; visualization | 75.0% |</t>
  </si>
  <si>
    <t>| Predictive insights | 40.0% |</t>
  </si>
  <si>
    <t>| Root cause analysis | 45.0% |</t>
  </si>
  <si>
    <t>| Executive summaries | 40.0% |</t>
  </si>
  <si>
    <t>| Not used for reporting | 12.0% |</t>
  </si>
  <si>
    <t>| Q12. Biggest challenge in using AI for BA |  |</t>
  </si>
  <si>
    <t>| Data quality / availability | 40.0% |</t>
  </si>
  <si>
    <t>| Explainability &amp; trust | 15.0% |</t>
  </si>
  <si>
    <t>| Skills &amp; expertise | 20.0% |</t>
  </si>
  <si>
    <t>| Integration with existing systems | 15.0% |</t>
  </si>
  <si>
    <t>| Cost / ROI justification | 8.0% |</t>
  </si>
  <si>
    <t>| Regulatory / compliance concerns | 2.0% |</t>
  </si>
  <si>
    <t>| No major challenges | 0.0% |</t>
  </si>
  <si>
    <t>| Data quality / availability | 30.0% |</t>
  </si>
  <si>
    <t>| Explainability &amp; trust | 25.0% |</t>
  </si>
  <si>
    <t>| Skills &amp; expertise | 15.0% |</t>
  </si>
  <si>
    <t>| Integration with existing systems | 20.0% |</t>
  </si>
  <si>
    <t>| Cost / ROI justification | 5.0% |</t>
  </si>
  <si>
    <t>| Regulatory / compliance concerns | 5.0% |</t>
  </si>
  <si>
    <t>| Data quality / availability | 35.0% |</t>
  </si>
  <si>
    <t>| Skills &amp; expertise | 25.0% |</t>
  </si>
  <si>
    <t>| Integration with existing systems | 10.0% |</t>
  </si>
  <si>
    <t>| Cost / ROI justification | 10.0% |</t>
  </si>
  <si>
    <t>| Q13. What is one BA use case where AI delivered the most value? |  |</t>
  </si>
  <si>
    <t>| Machine learning algorithms automated the reconciliation of massive CDR volumes, significantly reducing the time to identify unbilled events. | N/A |</t>
  </si>
  <si>
    <t>| Implementing deep learning allowed us to detect IRSF and bypass fraud in real time by analyzing complex traffic anomalies. | N/A |</t>
  </si>
  <si>
    <t>| AI-driven anomaly detection in our network provisioning systems helped us reduce configuration errors and improve overall data quality. | N/A |</t>
  </si>
  <si>
    <t>| Q14. Estimate the total number of participants that the survey will have. |  |</t>
  </si>
  <si>
    <t>| Estimated total participants - Revenue Assurance | 75 |</t>
  </si>
  <si>
    <t>| Estimated total participants - Fraud Management | 52 |</t>
  </si>
  <si>
    <t>| Estimated total participants - Other | 23 |</t>
  </si>
  <si>
    <t>Gemini Pro 3.1</t>
  </si>
  <si>
    <t>Claude Sonnet 4.6</t>
  </si>
  <si>
    <t>| Q1. In what region does your Company operate? | |</t>
  </si>
  <si>
    <t>| North America | 12.0% |</t>
  </si>
  <si>
    <t>| Latin America | 8.0% |</t>
  </si>
  <si>
    <t>| Australia / Oceania | 4.0% |</t>
  </si>
  <si>
    <t>| Asia | 14.0% |</t>
  </si>
  <si>
    <t>| Eastern Europe | 8.0% |</t>
  </si>
  <si>
    <t>| Africa | 10.0% |</t>
  </si>
  <si>
    <t>| Western Europe | 34.0% |</t>
  </si>
  <si>
    <t>| Q2. What is the main focus of your company? | |</t>
  </si>
  <si>
    <t>| Triple play | 14.0% |</t>
  </si>
  <si>
    <t>| MVNO | 5.0% |</t>
  </si>
  <si>
    <t>| IoT Connectivity Supplier | 3.0% |</t>
  </si>
  <si>
    <t>| Other services | 7.0% |</t>
  </si>
  <si>
    <t>| Operator / Wholesale services | 28.0% |</t>
  </si>
  <si>
    <t>| Cable business e.g., line rental / Fiber sales | 8.0% |</t>
  </si>
  <si>
    <t>| TV services (IP and cable) | 4.0% |</t>
  </si>
  <si>
    <t>| Mobility services | 18.0% |</t>
  </si>
  <si>
    <t>| Fixed Line telephony &amp; Internet connections | 13.0% |</t>
  </si>
  <si>
    <t>| Q3. How many subscribers (in millions) does your Company have for subscription-based services? | |</t>
  </si>
  <si>
    <t>| 0.5 to 1.5 million | 12.0% |</t>
  </si>
  <si>
    <t>| 1.5 to 5 million | 18.0% |</t>
  </si>
  <si>
    <t>| 5 to 10 million | 16.0% |</t>
  </si>
  <si>
    <t>| 10 to 20 million | 15.0% |</t>
  </si>
  <si>
    <t>| 20 to 50 million | 18.0% |</t>
  </si>
  <si>
    <t>| &gt; 50 million | 21.0% |</t>
  </si>
  <si>
    <t>| Q4. What is the annual revenue (in million US$) of your Company? | |</t>
  </si>
  <si>
    <t>| &lt; 50 million US$ | 5.0% |</t>
  </si>
  <si>
    <t>| 50 to 250 million US$ | 10.0% |</t>
  </si>
  <si>
    <t>| 250 to 1,000 million US$ | 16.0% |</t>
  </si>
  <si>
    <t>| 1,000 to 5,000 million US$ | 24.0% |</t>
  </si>
  <si>
    <t>| 5,000 to 10,000 million US$ | 17.0% |</t>
  </si>
  <si>
    <t>| &gt; 10,000 million US$ | 22.0% |</t>
  </si>
  <si>
    <t>| I do not know | 6.0% |</t>
  </si>
  <si>
    <t>| Q5. From which perspective will you answer the rest of the survey? | |</t>
  </si>
  <si>
    <t>| Revenue Assurance | 52.0% |</t>
  </si>
  <si>
    <t>| Fraud Management | 33.0% |</t>
  </si>
  <si>
    <t>| Q6. AI adoption status | |</t>
  </si>
  <si>
    <t>| Revenue Assurance | |</t>
  </si>
  <si>
    <t>| Not using AI today | 10.0% |</t>
  </si>
  <si>
    <t>| Exploring / pilots | 30.0% |</t>
  </si>
  <si>
    <t>| In limited production use | 32.0% |</t>
  </si>
  <si>
    <t>| Fraud Management | |</t>
  </si>
  <si>
    <t>| Not using AI today | 6.0% |</t>
  </si>
  <si>
    <t>| Exploring / pilots | 22.0% |</t>
  </si>
  <si>
    <t>| In limited production use | 33.0% |</t>
  </si>
  <si>
    <t>| Widely used in BA operations | 26.0% |</t>
  </si>
  <si>
    <t>| AI-driven BA is a strategic priority | 13.0% |</t>
  </si>
  <si>
    <t>| Other | |</t>
  </si>
  <si>
    <t>| Not using AI today | 18.0% |</t>
  </si>
  <si>
    <t>| Exploring / pilots | 34.0% |</t>
  </si>
  <si>
    <t>| In limited production use | 27.0% |</t>
  </si>
  <si>
    <t>| Widely used in BA operations | 14.0% |</t>
  </si>
  <si>
    <t>| AI-driven BA is a strategic priority | 7.0% |</t>
  </si>
  <si>
    <t>| Q7. How are AI capabilities for BA created or acquired? (Multi-select) | |</t>
  </si>
  <si>
    <t>| Internally developed | 38.0% |</t>
  </si>
  <si>
    <t>| BA vendor solutions | 52.0% |</t>
  </si>
  <si>
    <t>| Academic partnerships | 8.0% |</t>
  </si>
  <si>
    <t>| System integrators / consultants | 28.0% |</t>
  </si>
  <si>
    <t>| Other | 6.0% |</t>
  </si>
  <si>
    <t>| Internally developed | 32.0% |</t>
  </si>
  <si>
    <t>| BA vendor solutions | 58.0% |</t>
  </si>
  <si>
    <t>| General AI vendors / platforms | 28.0% |</t>
  </si>
  <si>
    <t>| Academic partnerships | 7.0% |</t>
  </si>
  <si>
    <t>| System integrators / consultants | 24.0% |</t>
  </si>
  <si>
    <t>| Internally developed | 30.0% |</t>
  </si>
  <si>
    <t>| BA vendor solutions | 38.0% |</t>
  </si>
  <si>
    <t>| General AI vendors / platforms | 36.0% |</t>
  </si>
  <si>
    <t>| Academic partnerships | 12.0% |</t>
  </si>
  <si>
    <t>| System integrators / consultants | 32.0% |</t>
  </si>
  <si>
    <t>| Q8. Primary BA domains where AI is applied (Multi-select) | |</t>
  </si>
  <si>
    <t>| Revenue leakage detection | 78.0% |</t>
  </si>
  <si>
    <t>| Data quality &amp; reconciliation | 58.0% |</t>
  </si>
  <si>
    <t>| Partner / interconnect assurance | 38.0% |</t>
  </si>
  <si>
    <t>| Customer impact analysis | 28.0% |</t>
  </si>
  <si>
    <t>| Revenue leakage detection | 34.0% |</t>
  </si>
  <si>
    <t>| Fraud detection | 84.0% |</t>
  </si>
  <si>
    <t>| Data quality &amp; reconciliation | 32.0% |</t>
  </si>
  <si>
    <t>| Partner / interconnect assurance | 28.0% |</t>
  </si>
  <si>
    <t>| Wholesale / roaming | 22.0% |</t>
  </si>
  <si>
    <t>| Customer impact analysis | 24.0% |</t>
  </si>
  <si>
    <t>| Other | 7.0% |</t>
  </si>
  <si>
    <t>| Revenue leakage detection | 42.0% |</t>
  </si>
  <si>
    <t>| Data quality &amp; reconciliation | 50.0% |</t>
  </si>
  <si>
    <t>| Wholesale / roaming | 20.0% |</t>
  </si>
  <si>
    <t>| Customer impact analysis | 36.0% |</t>
  </si>
  <si>
    <t>| Other | 16.0% |</t>
  </si>
  <si>
    <t>| Q9. Use of AI in third-party interactions, which of the following apply? (Multi-select) | |</t>
  </si>
  <si>
    <t>| Detecting fraud by third parties | 28.0% |</t>
  </si>
  <si>
    <t>| Detecting fraud against third parties | 22.0% |</t>
  </si>
  <si>
    <t>| Monitoring partner behaviour / anomalies | 48.0% |</t>
  </si>
  <si>
    <t>| Not used for third-party interactions | 18.0% |</t>
  </si>
  <si>
    <t>| Detecting fraud by third parties | 52.0% |</t>
  </si>
  <si>
    <t>| Detecting fraud against third parties | 46.0% |</t>
  </si>
  <si>
    <t>| Monitoring partner behaviour / anomalies | 38.0% |</t>
  </si>
  <si>
    <t>| Dispute prevention &amp; resolution | 28.0% |</t>
  </si>
  <si>
    <t>| Not used for third-party interactions | 10.0% |</t>
  </si>
  <si>
    <t>| Detecting fraud against third parties | 26.0% |</t>
  </si>
  <si>
    <t>| Monitoring partner behaviour / anomalies | 34.0% |</t>
  </si>
  <si>
    <t>| Dispute prevention &amp; resolution | 30.0% |</t>
  </si>
  <si>
    <t>| Not used for third-party interactions | 26.0% |</t>
  </si>
  <si>
    <t>| Other | 8.0% |</t>
  </si>
  <si>
    <t>| Q10. How is AI used across the BA control lifecycle? (Multi-select) | |</t>
  </si>
  <si>
    <t>| Designing / creating controls | 28.0% |</t>
  </si>
  <si>
    <t>| Operating / executing controls | 48.0% |</t>
  </si>
  <si>
    <t>| Monitoring control performance | 58.0% |</t>
  </si>
  <si>
    <t>| Exception prioritization | 54.0% |</t>
  </si>
  <si>
    <t>| Risk estimation &amp; impact assessment | 42.0% |</t>
  </si>
  <si>
    <t>| Designing / creating controls | 26.0% |</t>
  </si>
  <si>
    <t>| Operating / executing controls | 54.0% |</t>
  </si>
  <si>
    <t>| Monitoring control performance | 56.0% |</t>
  </si>
  <si>
    <t>| Exception prioritization | 60.0% |</t>
  </si>
  <si>
    <t>| Risk estimation &amp; impact assessment | 46.0% |</t>
  </si>
  <si>
    <t>| Designing / creating controls | 24.0% |</t>
  </si>
  <si>
    <t>| Monitoring control performance | 46.0% |</t>
  </si>
  <si>
    <t>| Exception prioritization | 38.0% |</t>
  </si>
  <si>
    <t>| Risk estimation &amp; impact assessment | 36.0% |</t>
  </si>
  <si>
    <t>| Q11. AI usage for insights &amp; reporting (Multi-select) | |</t>
  </si>
  <si>
    <t>| Automated reports | 52.0% |</t>
  </si>
  <si>
    <t>| Dashboards &amp; visualization | 58.0% |</t>
  </si>
  <si>
    <t>| Predictive insights | 44.0% |</t>
  </si>
  <si>
    <t>| Root cause analysis | 42.0% |</t>
  </si>
  <si>
    <t>| Executive summaries | 28.0% |</t>
  </si>
  <si>
    <t>| Other | 4.0% |</t>
  </si>
  <si>
    <t>| Automated reports | 50.0% |</t>
  </si>
  <si>
    <t>| Predictive insights | 48.0% |</t>
  </si>
  <si>
    <t>| Root cause analysis | 46.0% |</t>
  </si>
  <si>
    <t>| Executive summaries | 26.0% |</t>
  </si>
  <si>
    <t>| Not used for reporting | 8.0% |</t>
  </si>
  <si>
    <t>| Automated reports | 44.0% |</t>
  </si>
  <si>
    <t>| Dashboards &amp; visualization | 52.0% |</t>
  </si>
  <si>
    <t>| Predictive insights | 36.0% |</t>
  </si>
  <si>
    <t>| Root cause analysis | 34.0% |</t>
  </si>
  <si>
    <t>| Executive summaries | 24.0% |</t>
  </si>
  <si>
    <t>| Not used for reporting | 18.0% |</t>
  </si>
  <si>
    <t>| Q12. Biggest challenge in using AI for BA | |</t>
  </si>
  <si>
    <t>| Data quality / availability | 32.0% |</t>
  </si>
  <si>
    <t>| Explainability &amp; trust | 18.0% |</t>
  </si>
  <si>
    <t>| Skills &amp; expertise | 16.0% |</t>
  </si>
  <si>
    <t>| Regulatory / compliance concerns | 4.0% |</t>
  </si>
  <si>
    <t>| No major challenges | 2.0% |</t>
  </si>
  <si>
    <t>| Data quality / availability | 22.0% |</t>
  </si>
  <si>
    <t>| Explainability &amp; trust | 24.0% |</t>
  </si>
  <si>
    <t>| Skills &amp; expertise | 14.0% |</t>
  </si>
  <si>
    <t>| Regulatory / compliance concerns | 10.0% |</t>
  </si>
  <si>
    <t>| Data quality / availability | 28.0% |</t>
  </si>
  <si>
    <t>| Explainability &amp; trust | 16.0% |</t>
  </si>
  <si>
    <t>| Integration with existing systems | 18.0% |</t>
  </si>
  <si>
    <t>| Cost / ROI justification | 12.0% |</t>
  </si>
  <si>
    <t>| Q13. What is one BA use case where AI delivered the most value? | |</t>
  </si>
  <si>
    <t>| AI-powered anomaly detection on billing data allowed us to identify and recover significant revenue leakage from misconfigured tariff plans within weeks of deployment. | N/A |</t>
  </si>
  <si>
    <t>| AI-based real-time scoring of call detail records enabled us to detect and block SIM box fraud significantly faster than our previous rule-based system. | N/A |</t>
  </si>
  <si>
    <t>| AI-driven data quality monitoring helped us automatically identify and escalate reconciliation breaks across multiple network domains, reducing manual effort and reporting delays. | N/A |</t>
  </si>
  <si>
    <t>| Q14. Estimate the total number of participants that the survey will have. | |</t>
  </si>
  <si>
    <t>| Estimated total participants - Revenue Assurance | 65 |</t>
  </si>
  <si>
    <t>| Estimated total participants - Fraud Management | 42 |</t>
  </si>
  <si>
    <t>| Estimated total participants - Other | 18 |</t>
  </si>
  <si>
    <t>| North America | 20.0% |</t>
  </si>
  <si>
    <t>| Latin America | 10.0% |</t>
  </si>
  <si>
    <t>| Middle East | 8.0% |</t>
  </si>
  <si>
    <t>| Asia | 25.0% |</t>
  </si>
  <si>
    <t>| Eastern Europe | 7.0% |</t>
  </si>
  <si>
    <t>| Western Europe | 15.0% |</t>
  </si>
  <si>
    <t>| Triple play | 15.0% |</t>
  </si>
  <si>
    <t>| MVNO | 10.0% |</t>
  </si>
  <si>
    <t>| Other services | 10.0% |</t>
  </si>
  <si>
    <t>| Operator / Wholesale services | 20.0% |</t>
  </si>
  <si>
    <t>| Cable business e.g., line rental / Fiber sales | 10.0% |</t>
  </si>
  <si>
    <t>| TV services (IP and cable) | 5.0% |</t>
  </si>
  <si>
    <t>| Mobility services | 15.0% |</t>
  </si>
  <si>
    <t>| Fixed Line telephony &amp; Internet connections | 10.0% |</t>
  </si>
  <si>
    <t>| 1.5 to 5 million | 20.0% |</t>
  </si>
  <si>
    <t>| 20 to 50 million | 15.0% |</t>
  </si>
  <si>
    <t>| &gt; 50 million | 15.0% |</t>
  </si>
  <si>
    <t>| 50 to 250 million US$ | 15.0% |</t>
  </si>
  <si>
    <t>| 250 to 1,000 million US$ | 20.0% |</t>
  </si>
  <si>
    <t>| &gt; 10,000 million US$ | 15.0% |</t>
  </si>
  <si>
    <t>| Fraud Management | 30.0% |</t>
  </si>
  <si>
    <t>| Other | 20.0% |</t>
  </si>
  <si>
    <t>| Exploring / pilots | 25.0% |</t>
  </si>
  <si>
    <t>| In limited production use | 35.0% |</t>
  </si>
  <si>
    <t>| AI-driven BA is a strategic priority | 10.0% |</t>
  </si>
  <si>
    <t>| Widely used in BA operations | 30.0% |</t>
  </si>
  <si>
    <t>| Not using AI today | 20.0% |</t>
  </si>
  <si>
    <t>| Widely used in BA operations | 15.0% |</t>
  </si>
  <si>
    <t>| BA vendor solutions | 55.0% |</t>
  </si>
  <si>
    <t>| General AI vendors / platforms | 35.0% |</t>
  </si>
  <si>
    <t>| BA vendor solutions | 40.0% |</t>
  </si>
  <si>
    <t>| Academic partnerships | 20.0% |</t>
  </si>
  <si>
    <t>| System integrators / consultants | 35.0% |</t>
  </si>
  <si>
    <t>| Revenue leakage detection | 70.0% |</t>
  </si>
  <si>
    <t>| Fraud detection | 20.0% |</t>
  </si>
  <si>
    <t>| Partner / interconnect assurance | 40.0% |</t>
  </si>
  <si>
    <t>| Wholesale / roaming | 35.0% |</t>
  </si>
  <si>
    <t>| Revenue leakage detection | 15.0% |</t>
  </si>
  <si>
    <t>| Fraud detection | 80.0% |</t>
  </si>
  <si>
    <t>| Data quality &amp; reconciliation | 40.0% |</t>
  </si>
  <si>
    <t>| Partner / interconnect assurance | 30.0% |</t>
  </si>
  <si>
    <t>| Wholesale / roaming | 25.0% |</t>
  </si>
  <si>
    <t>| Customer impact analysis | 20.0% |</t>
  </si>
  <si>
    <t>| Revenue leakage detection | 30.0% |</t>
  </si>
  <si>
    <t>| Fraud detection | 25.0% |</t>
  </si>
  <si>
    <t>| Data quality &amp; reconciliation | 45.0% |</t>
  </si>
  <si>
    <t>| Customer impact analysis | 40.0% |</t>
  </si>
  <si>
    <t>| Detecting fraud against third parties | 25.0% |</t>
  </si>
  <si>
    <t>| Detecting fraud by third parties | 60.0% |</t>
  </si>
  <si>
    <t>| Detecting fraud against third parties | 50.0% |</t>
  </si>
  <si>
    <t>| Monitoring partner behaviour / anomalies | 40.0% |</t>
  </si>
  <si>
    <t>| Detecting fraud by third parties | 20.0% |</t>
  </si>
  <si>
    <t>| Detecting fraud against third parties | 15.0% |</t>
  </si>
  <si>
    <t>| Monitoring partner behaviour / anomalies | 35.0% |</t>
  </si>
  <si>
    <t>| Operating / executing controls | 50.0% |</t>
  </si>
  <si>
    <t>| Risk estimation &amp; impact assessment | 55.0% |</t>
  </si>
  <si>
    <t>| Designing / creating controls | 35.0% |</t>
  </si>
  <si>
    <t>| Monitoring control performance | 40.0% |</t>
  </si>
  <si>
    <t>| Risk estimation &amp; impact assessment | 45.0% |</t>
  </si>
  <si>
    <t>| Designing / creating controls | 40.0% |</t>
  </si>
  <si>
    <t>| Operating / executing controls | 45.0% |</t>
  </si>
  <si>
    <t>| Exception prioritization | 35.0% |</t>
  </si>
  <si>
    <t>| Automated reports | 45.0% |</t>
  </si>
  <si>
    <t>| Dashboards &amp; visualization | 55.0% |</t>
  </si>
  <si>
    <t>| Predictive insights | 50.0% |</t>
  </si>
  <si>
    <t>| Root cause analysis | 40.0% |</t>
  </si>
  <si>
    <t>| Executive summaries | 25.0% |</t>
  </si>
  <si>
    <t>| Dashboards &amp; visualization | 50.0% |</t>
  </si>
  <si>
    <t>| Predictive insights | 35.0% |</t>
  </si>
  <si>
    <t>| Not used for reporting | 15.0% |</t>
  </si>
  <si>
    <t>| Data quality / availability | 25.0% |</t>
  </si>
  <si>
    <t>| Explainability &amp; trust | 20.0% |</t>
  </si>
  <si>
    <t>| No major challenges | 5.0% |</t>
  </si>
  <si>
    <t>| Data quality / availability | 20.0% |</t>
  </si>
  <si>
    <t>| AI helped us identify and prioritize revenue leakages in billing systems by analyzing usage patterns and anomalies. | N/A |</t>
  </si>
  <si>
    <t>| AI enhanced fraud detection by predicting and alerting on unusual call patterns in real-time, reducing financial losses. | N/A |</t>
  </si>
  <si>
    <t>| AI improved operational efficiency by automating data reconciliation processes across multiple telecom platforms. | N/A |</t>
  </si>
  <si>
    <t>| Estimated total participants - Revenue Assurance | 80 |</t>
  </si>
  <si>
    <t>| Estimated total participants - Fraud Management | 45 |</t>
  </si>
  <si>
    <t>| Estimated total participants - Other | 30 |</t>
  </si>
  <si>
    <t>Grok 4</t>
  </si>
  <si>
    <t>GPT-5.4</t>
  </si>
  <si>
    <t>| Latin America | 11.0% |</t>
  </si>
  <si>
    <t>| Australia / Oceania | 3.0% |</t>
  </si>
  <si>
    <t>| Middle East | 12.0% |</t>
  </si>
  <si>
    <t>| Asia | 23.0% |</t>
  </si>
  <si>
    <t>| Western Europe | 19.0% |</t>
  </si>
  <si>
    <t>| MVNO | 7.0% |</t>
  </si>
  <si>
    <t>| Other services | 6.0% |</t>
  </si>
  <si>
    <t>| Mobility services | 17.0% |</t>
  </si>
  <si>
    <t>| 0.5 to 1.5 million | 14.0% |</t>
  </si>
  <si>
    <t>| 1.5 to 5 million | 24.0% |</t>
  </si>
  <si>
    <t>| 5 to 10 million | 21.0% |</t>
  </si>
  <si>
    <t>| &gt; 50 million | 8.0% |</t>
  </si>
  <si>
    <t>| &lt; 50 million US$ | 6.0% |</t>
  </si>
  <si>
    <t>| 50 to 250 million US$ | 13.0% |</t>
  </si>
  <si>
    <t>| 250 to 1,000 million US$ | 21.0% |</t>
  </si>
  <si>
    <t>| 1,000 to 5,000 million US$ | 27.0% |</t>
  </si>
  <si>
    <t>| 5,000 to 10,000 million US$ | 14.0% |</t>
  </si>
  <si>
    <t>| &gt; 10,000 million US$ | 12.0% |</t>
  </si>
  <si>
    <t>| I do not know | 7.0% |</t>
  </si>
  <si>
    <t>| Fraud Management | 31.0% |</t>
  </si>
  <si>
    <t>| Other | 17.0% |</t>
  </si>
  <si>
    <t>| Exploring / pilots | 33.0% |</t>
  </si>
  <si>
    <t>| In limited production use | 31.0% |</t>
  </si>
  <si>
    <t>| AI-driven BA is a strategic priority | 6.0% |</t>
  </si>
  <si>
    <t>| Exploring / pilots | 24.0% |</t>
  </si>
  <si>
    <t>| In limited production use | 34.0% |</t>
  </si>
  <si>
    <t>| Widely used in BA operations | 22.0% |</t>
  </si>
  <si>
    <t>| Not using AI today | 22.0% |</t>
  </si>
  <si>
    <t>| Exploring / pilots | 36.0% |</t>
  </si>
  <si>
    <t>| In limited production use | 25.0% |</t>
  </si>
  <si>
    <t>| Internally developed | 34.0% |</t>
  </si>
  <si>
    <t>| BA vendor solutions | 56.0% |</t>
  </si>
  <si>
    <t>| General AI vendors / platforms | 41.0% |</t>
  </si>
  <si>
    <t>| Academic partnerships | 6.0% |</t>
  </si>
  <si>
    <t>| System integrators / consultants | 29.0% |</t>
  </si>
  <si>
    <t>| Internally developed | 42.0% |</t>
  </si>
  <si>
    <t>| BA vendor solutions | 61.0% |</t>
  </si>
  <si>
    <t>| General AI vendors / platforms | 38.0% |</t>
  </si>
  <si>
    <t>| Internally developed | 26.0% |</t>
  </si>
  <si>
    <t>| BA vendor solutions | 39.0% |</t>
  </si>
  <si>
    <t>| General AI vendors / platforms | 37.0% |</t>
  </si>
  <si>
    <t>| System integrators / consultants | 27.0% |</t>
  </si>
  <si>
    <t>| Revenue leakage detection | 68.0% |</t>
  </si>
  <si>
    <t>| Fraud detection | 29.0% |</t>
  </si>
  <si>
    <t>| Data quality &amp; reconciliation | 52.0% |</t>
  </si>
  <si>
    <t>| Partner / interconnect assurance | 31.0% |</t>
  </si>
  <si>
    <t>| Wholesale / roaming | 27.0% |</t>
  </si>
  <si>
    <t>| Customer impact analysis | 23.0% |</t>
  </si>
  <si>
    <t>| Revenue leakage detection | 24.0% |</t>
  </si>
  <si>
    <t>| Fraud detection | 79.0% |</t>
  </si>
  <si>
    <t>| Data quality &amp; reconciliation | 28.0% |</t>
  </si>
  <si>
    <t>| Partner / interconnect assurance | 21.0% |</t>
  </si>
  <si>
    <t>| Wholesale / roaming | 33.0% |</t>
  </si>
  <si>
    <t>| Customer impact analysis | 19.0% |</t>
  </si>
  <si>
    <t>| Revenue leakage detection | 27.0% |</t>
  </si>
  <si>
    <t>| Fraud detection | 22.0% |</t>
  </si>
  <si>
    <t>| Data quality &amp; reconciliation | 46.0% |</t>
  </si>
  <si>
    <t>| Partner / interconnect assurance | 18.0% |</t>
  </si>
  <si>
    <t>| Customer impact analysis | 31.0% |</t>
  </si>
  <si>
    <t>| Other | 11.0% |</t>
  </si>
  <si>
    <t>| Detecting fraud by third parties | 18.0% |</t>
  </si>
  <si>
    <t>| Detecting fraud against third parties | 21.0% |</t>
  </si>
  <si>
    <t>| Monitoring partner behaviour / anomalies | 39.0% |</t>
  </si>
  <si>
    <t>| Dispute prevention &amp; resolution | 24.0% |</t>
  </si>
  <si>
    <t>| Not used for third-party interactions | 34.0% |</t>
  </si>
  <si>
    <t>| Detecting fraud by third parties | 46.0% |</t>
  </si>
  <si>
    <t>| Detecting fraud against third parties | 41.0% |</t>
  </si>
  <si>
    <t>| Monitoring partner behaviour / anomalies | 37.0% |</t>
  </si>
  <si>
    <t>| Dispute prevention &amp; resolution | 16.0% |</t>
  </si>
  <si>
    <t>| Not used for third-party interactions | 27.0% |</t>
  </si>
  <si>
    <t>| Other | 3.0% |</t>
  </si>
  <si>
    <t>| Detecting fraud by third parties | 15.0% |</t>
  </si>
  <si>
    <t>| Detecting fraud against third parties | 14.0% |</t>
  </si>
  <si>
    <t>| Monitoring partner behaviour / anomalies | 28.0% |</t>
  </si>
  <si>
    <t>| Dispute prevention &amp; resolution | 19.0% |</t>
  </si>
  <si>
    <t>| Not used for third-party interactions | 43.0% |</t>
  </si>
  <si>
    <t>| Operating / executing controls | 41.0% |</t>
  </si>
  <si>
    <t>| Monitoring control performance | 44.0% |</t>
  </si>
  <si>
    <t>| Exception prioritization | 58.0% |</t>
  </si>
  <si>
    <t>| Risk estimation &amp; impact assessment | 39.0% |</t>
  </si>
  <si>
    <t>| Designing / creating controls | 31.0% |</t>
  </si>
  <si>
    <t>| Operating / executing controls | 49.0% |</t>
  </si>
  <si>
    <t>| Exception prioritization | 62.0% |</t>
  </si>
  <si>
    <t>| Risk estimation &amp; impact assessment | 43.0% |</t>
  </si>
  <si>
    <t>| Designing / creating controls | 19.0% |</t>
  </si>
  <si>
    <t>| Operating / executing controls | 28.0% |</t>
  </si>
  <si>
    <t>| Monitoring control performance | 33.0% |</t>
  </si>
  <si>
    <t>| Exception prioritization | 36.0% |</t>
  </si>
  <si>
    <t>| Risk estimation &amp; impact assessment | 29.0% |</t>
  </si>
  <si>
    <t>| Automated reports | 47.0% |</t>
  </si>
  <si>
    <t>| Dashboards &amp; visualization | 54.0% |</t>
  </si>
  <si>
    <t>| Predictive insights | 43.0% |</t>
  </si>
  <si>
    <t>| Root cause analysis | 38.0% |</t>
  </si>
  <si>
    <t>| Executive summaries | 19.0% |</t>
  </si>
  <si>
    <t>| Not used for reporting | 17.0% |</t>
  </si>
  <si>
    <t>| Automated reports | 42.0% |</t>
  </si>
  <si>
    <t>| Dashboards &amp; visualization | 51.0% |</t>
  </si>
  <si>
    <t>| Predictive insights | 49.0% |</t>
  </si>
  <si>
    <t>| Executive summaries | 17.0% |</t>
  </si>
  <si>
    <t>| Not used for reporting | 14.0% |</t>
  </si>
  <si>
    <t>| Automated reports | 36.0% |</t>
  </si>
  <si>
    <t>| Dashboards &amp; visualization | 44.0% |</t>
  </si>
  <si>
    <t>| Predictive insights | 31.0% |</t>
  </si>
  <si>
    <t>| Root cause analysis | 29.0% |</t>
  </si>
  <si>
    <t>| Executive summaries | 15.0% |</t>
  </si>
  <si>
    <t>| Not used for reporting | 24.0% |</t>
  </si>
  <si>
    <t>| Cost / ROI justification | 13.0% |</t>
  </si>
  <si>
    <t>| Data quality / availability | 24.0% |</t>
  </si>
  <si>
    <t>| Explainability &amp; trust | 19.0% |</t>
  </si>
  <si>
    <t>| Skills &amp; expertise | 13.0% |</t>
  </si>
  <si>
    <t>| Integration with existing systems | 16.0% |</t>
  </si>
  <si>
    <t>| Regulatory / compliance concerns | 16.0% |</t>
  </si>
  <si>
    <t>| Data quality / availability | 27.0% |</t>
  </si>
  <si>
    <t>| Skills &amp; expertise | 18.0% |</t>
  </si>
  <si>
    <t>| Integration with existing systems | 19.0% |</t>
  </si>
  <si>
    <t>| Cost / ROI justification | 14.0% |</t>
  </si>
  <si>
    <t>| AI helped us prioritize leakage cases by scoring reconciliation breaks and highlighting the ones with the highest recoverable value. | N/A |</t>
  </si>
  <si>
    <t>| AI delivered the most value by detecting subscription and roaming fraud patterns earlier, reducing false positives and investigator workload. | N/A |</t>
  </si>
  <si>
    <t>| AI helped us detect operational anomalies in KPI and assurance data faster, improving reporting quality and issue triage for the business. | N/A |</t>
  </si>
  <si>
    <t>| Estimated total participants - Revenue Assurance | 82 |</t>
  </si>
  <si>
    <t>| Estimated total participants - Fraud Management | 49 |</t>
  </si>
  <si>
    <t>| Estimated total participants - Other | 27 |</t>
  </si>
  <si>
    <t>| Middle East | 15.0% |</t>
  </si>
  <si>
    <t>| Eastern Europe | 12.0% |</t>
  </si>
  <si>
    <t>| Western Europe | 17.0% |</t>
  </si>
  <si>
    <t>| MVNO | 6.0% |</t>
  </si>
  <si>
    <t>| Operator / Wholesale services | 12.0% |</t>
  </si>
  <si>
    <t>| Cable business e.g., line rental / Fiber sales | 7.0% |</t>
  </si>
  <si>
    <t>| Mobility services | 30.0% |</t>
  </si>
  <si>
    <t>| Fixed Line telephony &amp; Internet connections | 15.0% |</t>
  </si>
  <si>
    <t>| 0.5 to 1.5 million | 18.0% |</t>
  </si>
  <si>
    <t>| 1.5 to 5 million | 22.0% |</t>
  </si>
  <si>
    <t>| 10 to 20 million | 17.0% |</t>
  </si>
  <si>
    <t>| 20 to 50 million | 13.0% |</t>
  </si>
  <si>
    <t>| &lt; 50 million US$ | 8.0% |</t>
  </si>
  <si>
    <t>| 5,000 to 10,000 million US$ | 10.0% |</t>
  </si>
  <si>
    <t>| &gt; 10,000 million US$ | 8.0% |</t>
  </si>
  <si>
    <t>| I do not know | 14.0% |</t>
  </si>
  <si>
    <t>| Exploring / pilots | 32.0% |</t>
  </si>
  <si>
    <t>| Not using AI today | 8.0% |</t>
  </si>
  <si>
    <t>| Widely used in BA operations | 25.0% |</t>
  </si>
  <si>
    <t>| AI-driven BA is a strategic priority | 12.0% |</t>
  </si>
  <si>
    <t>| In limited production use | 24.0% |</t>
  </si>
  <si>
    <t>| Widely used in BA operations | 13.0% |</t>
  </si>
  <si>
    <t>| BA vendor solutions | 60.0% |</t>
  </si>
  <si>
    <t>| Internally developed | 25.0% |</t>
  </si>
  <si>
    <t>| General AI vendors / platforms | 45.0% |</t>
  </si>
  <si>
    <t>| Other | 12.0% |</t>
  </si>
  <si>
    <t>| Revenue leakage detection | 75.0% |</t>
  </si>
  <si>
    <t>| Data quality &amp; reconciliation | 55.0% |</t>
  </si>
  <si>
    <t>| Partner / interconnect assurance | 25.0% |</t>
  </si>
  <si>
    <t>| Customer impact analysis | 18.0% |</t>
  </si>
  <si>
    <t>| Fraud detection | 88.0% |</t>
  </si>
  <si>
    <t>| Data quality &amp; reconciliation | 25.0% |</t>
  </si>
  <si>
    <t>| Partner / interconnect assurance | 22.0% |</t>
  </si>
  <si>
    <t>| Revenue leakage detection | 35.0% |</t>
  </si>
  <si>
    <t>| Detecting fraud against third parties | 12.0% |</t>
  </si>
  <si>
    <t>| Not used for third-party interactions | 35.0% |</t>
  </si>
  <si>
    <t>| Detecting fraud by third parties | 55.0% |</t>
  </si>
  <si>
    <t>| Detecting fraud against third parties | 40.0% |</t>
  </si>
  <si>
    <t>| Dispute prevention &amp; resolution | 15.0% |</t>
  </si>
  <si>
    <t>| Dispute prevention &amp; resolution | 22.0% |</t>
  </si>
  <si>
    <t>| Not used for third-party interactions | 40.0% |</t>
  </si>
  <si>
    <t>| Exception prioritization | 55.0% |</t>
  </si>
  <si>
    <t>| Risk estimation &amp; impact assessment | 48.0% |</t>
  </si>
  <si>
    <t>| Designing / creating controls | 22.0% |</t>
  </si>
  <si>
    <t>| Operating / executing controls | 35.0% |</t>
  </si>
  <si>
    <t>| Exception prioritization | 30.0% |</t>
  </si>
  <si>
    <t>| Root cause analysis | 35.0% |</t>
  </si>
  <si>
    <t>| Executive summaries | 22.0% |</t>
  </si>
  <si>
    <t>| Automated reports | 40.0% |</t>
  </si>
  <si>
    <t>| Predictive insights | 28.0% |</t>
  </si>
  <si>
    <t>| Root cause analysis | 30.0% |</t>
  </si>
  <si>
    <t>| Executive summaries | 20.0% |</t>
  </si>
  <si>
    <t>| Not used for reporting | 22.0% |</t>
  </si>
  <si>
    <t>| Explainability &amp; trust | 12.0% |</t>
  </si>
  <si>
    <t>| No major challenges | 3.0% |</t>
  </si>
  <si>
    <t>| Explainability &amp; trust | 10.0% |</t>
  </si>
  <si>
    <t>| AI-based anomaly detection helped us identify recurring rating errors across prepaid recharge flows, recovering over $2M annually in previously undetected revenue leakage. | N/A |</t>
  </si>
  <si>
    <t>| Machine learning models reduced SIM box fraud detection time from days to hours, significantly cutting revenue losses on international voice traffic. | N/A |</t>
  </si>
  <si>
    <t>| AI-powered reconciliation automation reduced manual effort by 60% and improved the accuracy of inter-system data matching across billing and mediation platforms. | N/A |</t>
  </si>
  <si>
    <t>| Estimated total participants - Revenue Assurance | 55 |</t>
  </si>
  <si>
    <t>| Estimated total participants - Fraud Management | 38 |</t>
  </si>
  <si>
    <t>| Estimated total participants - Other | 17 |</t>
  </si>
  <si>
    <t>Claude Opus 4.6</t>
  </si>
  <si>
    <t>| North America | 8.0% |</t>
  </si>
  <si>
    <t>| Middle East | 18.0% |</t>
  </si>
  <si>
    <t>| Asia | 22.0% |</t>
  </si>
  <si>
    <t>| Africa | 14.0% |</t>
  </si>
  <si>
    <t>| Triple play | 12.0% |</t>
  </si>
  <si>
    <t>| MVNO | 4.0% |</t>
  </si>
  <si>
    <t>| Io T Connectivity Supplier | 3.0% |</t>
  </si>
  <si>
    <t>| Other services | 5.0% |</t>
  </si>
  <si>
    <t>| Cable business e.g., line rental / Fiber sales | 6.0% |</t>
  </si>
  <si>
    <t>| TV services (IP and cable) | 2.0% |</t>
  </si>
  <si>
    <t>| Mobility services | 45.0% |</t>
  </si>
  <si>
    <t>| 0.5 to 1.5 million | 8.0% |</t>
  </si>
  <si>
    <t>| 5 to 10 million | 22.0% |</t>
  </si>
  <si>
    <t>| 10 to 20 million | 20.0% |</t>
  </si>
  <si>
    <t>| 20 to 50 million | 17.0% |</t>
  </si>
  <si>
    <t>| 250 to 1,000 million US$ | 18.0% |</t>
  </si>
  <si>
    <t>| 1,000 to 5,000 million US$ | 25.0% |</t>
  </si>
  <si>
    <t>| I do not know | 15.0% |</t>
  </si>
  <si>
    <t>| Fraud Management | 32.0% |</t>
  </si>
  <si>
    <t>| Other | 18.0% |</t>
  </si>
  <si>
    <t>| Widely used in BA operations | 17.0% |</t>
  </si>
  <si>
    <t>| Q7. How are AI capabilities for BA created or acquired? ( Multi-select) |  |</t>
  </si>
  <si>
    <t>| System integrators / consultants | 38.0% |</t>
  </si>
  <si>
    <t>| BA vendor solutions | 42.0% |</t>
  </si>
  <si>
    <t>| Q8. Primary BA domains where AI is applied ( Multi-select) |  |</t>
  </si>
  <si>
    <t>| Fraud detection | 35.0% |</t>
  </si>
  <si>
    <t>| Customer impact analysis | 45.0% |</t>
  </si>
  <si>
    <t>| Fraud detection | 85.0% |</t>
  </si>
  <si>
    <t>| Wholesale / roaming | 50.0% |</t>
  </si>
  <si>
    <t>| Fraud detection | 45.0% |</t>
  </si>
  <si>
    <t>| Customer impact analysis | 35.0% |</t>
  </si>
  <si>
    <t>| Q9. Use of AI in third-party interactions, which of the following apply? ( Multi-select) |  |</t>
  </si>
  <si>
    <t>| Detecting fraud by third parties | 35.0% |</t>
  </si>
  <si>
    <t>| Monitoring partner behaviour / anomalies | 55.0% |</t>
  </si>
  <si>
    <t>| Dispute prevention &amp; resolution | 45.0% |</t>
  </si>
  <si>
    <t>| Not used for third-party interactions | 20.0% |</t>
  </si>
  <si>
    <t>| Detecting fraud by third parties | 70.0% |</t>
  </si>
  <si>
    <t>| Detecting fraud against third parties | 55.0% |</t>
  </si>
  <si>
    <t>| Q10. How is AI used across the BA control lifecycle? ( Multi-select) |  |</t>
  </si>
  <si>
    <t>| Monitoring control performance | 60.0% |</t>
  </si>
  <si>
    <t>| Risk estimation &amp; impact assessment | 50.0% |</t>
  </si>
  <si>
    <t>| Exception prioritization | 65.0% |</t>
  </si>
  <si>
    <t>| Q11. AI usage for insights &amp; reporting ( Multi-select) |  |</t>
  </si>
  <si>
    <t>| Dashboards &amp; visualization | 65.0% |</t>
  </si>
  <si>
    <t>| Root cause analysis | 50.0% |</t>
  </si>
  <si>
    <t>| Predictive insights | 55.0% |</t>
  </si>
  <si>
    <t>| Skills &amp; expertise | 12.0% |</t>
  </si>
  <si>
    <t>| Explainability &amp; trust | 22.0% |</t>
  </si>
  <si>
    <t>| Skills &amp; expertise | 10.0% |</t>
  </si>
  <si>
    <t>| Regulatory / compliance concerns | 12.0% |</t>
  </si>
  <si>
    <t>| No major challenges | 4.0% |</t>
  </si>
  <si>
    <t>| Regulatory / compliance concerns | 7.0% |</t>
  </si>
  <si>
    <t>| AI helped us prioritize revenue leakage cases by ranking anomalies with the highest expected financial impact. | N/A |</t>
  </si>
  <si>
    <t>| AI improved fraud detection by identifying suspicious SIM swap patterns earlier and reducing manual investigation effort. | N/A |</t>
  </si>
  <si>
    <t>| AI helped us automate data reconciliation across billing systems and reduce the time to detect operational anomalies. | N/A |</t>
  </si>
  <si>
    <t>| Estimated total participants - Fraud Management | 40 |</t>
  </si>
  <si>
    <t>| Estimated total participants - Other | 20 |</t>
  </si>
  <si>
    <t xml:space="preserve">
GLM-5.1</t>
  </si>
  <si>
    <t>MiniMax M2.7</t>
  </si>
  <si>
    <t>| 1. In what region does your Company operate? |  |</t>
  </si>
  <si>
    <t>| Western Europe | 25.0% |</t>
  </si>
  <si>
    <t>| North America | 22.0% |</t>
  </si>
  <si>
    <t>| Latin America | 7.0% |</t>
  </si>
  <si>
    <t>| Africa | 5.0% |</t>
  </si>
  <si>
    <t>| 2. What is the main focus of your company? |  |</t>
  </si>
  <si>
    <t>| Mobility services | 25.0% |</t>
  </si>
  <si>
    <t>| Cable business e.g., line rental / Fiber sales | 12.0% |</t>
  </si>
  <si>
    <t>| Triple play | 8.0% |</t>
  </si>
  <si>
    <t>| TV services (IP and cable) | 7.0% |</t>
  </si>
  <si>
    <t>| MV NO | 6.0% |</t>
  </si>
  <si>
    <t>| Other services | 4.0% |</t>
  </si>
  <si>
    <t>| 3. How many subscribers (in millions) does your Company have for subscription-based services? |  |</t>
  </si>
  <si>
    <t>| 1.5 to 5 million | 28.0% |</t>
  </si>
  <si>
    <t>| 20 to 50 million | 10.0% |</t>
  </si>
  <si>
    <t>| &gt; 50 million | 7.0% |</t>
  </si>
  <si>
    <t>| 4. What is the annual revenue (in million US$) of your Company? |  |</t>
  </si>
  <si>
    <t>| 50 to 250 million US$ | 25.0% |</t>
  </si>
  <si>
    <t>| 250 to 1,000 million US$ | 23.0% |</t>
  </si>
  <si>
    <t>| 50 million US$ | 12.0% |</t>
  </si>
  <si>
    <t>| &gt; 10,000 million US$ | 7.0% |</t>
  </si>
  <si>
    <t>| I do not know | 3.0% |</t>
  </si>
  <si>
    <t>| 5. From which perspective will you answer the rest of the survey? |  |</t>
  </si>
  <si>
    <t>| Revenue Assurance | 55.0% |</t>
  </si>
  <si>
    <t>| 6. AI adoption status |  |</t>
  </si>
  <si>
    <t>| Not using AI today | 12.0% |</t>
  </si>
  <si>
    <t>| Exploring / pilots | 28.0% |</t>
  </si>
  <si>
    <t>| Widely used in BA operations | 18.0% |</t>
  </si>
  <si>
    <t>| Widely used in BA operations | 23.0% |</t>
  </si>
  <si>
    <t>| 7. How are AI capabilities for BA created or acquired? ( Multi-select) |  |</t>
  </si>
  <si>
    <t>| 8. Primary BA domains where AI is applied (Multi-select) |  |</t>
  </si>
  <si>
    <t>| Fraud detection | 42.0% |</t>
  </si>
  <si>
    <t>| Fraud detection | 82.0% |</t>
  </si>
  <si>
    <t>| Fraud detection | 38.0% |</t>
  </si>
  <si>
    <t>| Data quality &amp; reconciliation | 48.0% |</t>
  </si>
  <si>
    <t>| Customer impact analysis | 32.0% |</t>
  </si>
  <si>
    <t>| 9. Use of AI in third-party interactions, which of the following apply? ( Multi-select) |  |</t>
  </si>
  <si>
    <t>| Dispute prevention &amp; resolution | 42.0% |</t>
  </si>
  <si>
    <t>| Not used for third-party interactions | 30.0% |</t>
  </si>
  <si>
    <t>| Detecting fraud by third parties | 68.0% |</t>
  </si>
  <si>
    <t>| Detecting fraud against third parties | 60.0% |</t>
  </si>
  <si>
    <t>| Not used for third-party interactions | 38.0% |</t>
  </si>
  <si>
    <t>| 10. How is AI used across the BA control lifecycle? ( Multi-select) |  |</t>
  </si>
  <si>
    <t>| Operating / executing controls | 58.0% |</t>
  </si>
  <si>
    <t>| Exception prioritization | 70.0% |</t>
  </si>
  <si>
    <t>| Risk estimation &amp; impact assessment | 52.0% |</t>
  </si>
  <si>
    <t>| Risk estimation &amp; impact assessment | 38.0% |</t>
  </si>
  <si>
    <t>| 11. AI usage for insights &amp; reporting ( Multi-select) |  |</t>
  </si>
  <si>
    <t>| Automated reports | 62.0% |</t>
  </si>
  <si>
    <t>| Dashboards &amp; visualization | 48.0% |</t>
  </si>
  <si>
    <t>| Predictive insights | 58.0% |</t>
  </si>
  <si>
    <t>| Not used for reporting | 20.0% |</t>
  </si>
  <si>
    <t>| Predictive insights | 38.0% |</t>
  </si>
  <si>
    <t>| 12. Biggest challenge in using AI for BA |  |</t>
  </si>
  <si>
    <t>| Cost / ROI justification | 15.0% |</t>
  </si>
  <si>
    <t>| Regulatory / compliance concerns | 8.0% |</t>
  </si>
  <si>
    <t>| Skills &amp; expertise | 22.0% |</t>
  </si>
  <si>
    <t>| 13. What is one BA use case where AI delivered the most value? |  |</t>
  </si>
  <si>
    <t>| AI improved fraud detection by identifying suspicious behavior patterns earlier and reducing manual investigation effort. | N/A |</t>
  </si>
  <si>
    <t>| AI helped us detect operational anomalies faster and improve reporting quality for business stakeholders. | N/A |</t>
  </si>
  <si>
    <t>| 14. Estimate the total number of participants that the survey will have. |  |</t>
  </si>
  <si>
    <t>| Estimated total participants - Revenue Assurance | 70 |</t>
  </si>
  <si>
    <t>| Estimated total participants - Fraud Management | 35 |</t>
  </si>
  <si>
    <t>| Estimated total participants - Other | 15 |</t>
  </si>
  <si>
    <t>R1</t>
  </si>
  <si>
    <t>| North America | 18.0% |</t>
  </si>
  <si>
    <t>| Africa | 7.0% |</t>
  </si>
  <si>
    <t>| Western Europe | 20.0% |</t>
  </si>
  <si>
    <t>| Fixed Line telephony &amp; Internet connections | 20.0% |</t>
  </si>
  <si>
    <t>| 0.5 to 1.5 million | 20.0% |</t>
  </si>
  <si>
    <t>| 250 to 1,000 million US$ | 25.0% |</t>
  </si>
  <si>
    <t>| I do not know | 10.0% |</t>
  </si>
  <si>
    <t>| Exploring / pilots | 15.0% |</t>
  </si>
  <si>
    <t>| AI-driven BA is a strategic priority | 20.0% |</t>
  </si>
  <si>
    <t>| 7. How are AI capabilities for BA created or acquired? (Multi-select) |  |</t>
  </si>
  <si>
    <t>| Partner / interconnect assurance | 60.0% |</t>
  </si>
  <si>
    <t>| Revenue leakage detection | 50.0% |</t>
  </si>
  <si>
    <t>| Partner / interconnect assurance | 55.0% |</t>
  </si>
  <si>
    <t>| Wholesale / roaming | 60.0% |</t>
  </si>
  <si>
    <t>| Revenue leakage detection | 60.0% |</t>
  </si>
  <si>
    <t>| Fraud detection | 50.0% |</t>
  </si>
  <si>
    <t>| Data quality &amp; reconciliation | 65.0% |</t>
  </si>
  <si>
    <t>| Other | 30.0% |</t>
  </si>
  <si>
    <t>| 9. Use of AI in third-party interactions, which of the following apply? (Multi-select) |  |</t>
  </si>
  <si>
    <t>| Detecting fraud by third parties | 40.0% |</t>
  </si>
  <si>
    <t>| Detecting fraud against third parties | 35.0% |</t>
  </si>
  <si>
    <t>| Monitoring partner behaviour / anomalies | 70.0% |</t>
  </si>
  <si>
    <t>| Detecting fraud by third parties | 75.0% |</t>
  </si>
  <si>
    <t>| Detecting fraud against third parties | 70.0% |</t>
  </si>
  <si>
    <t>| Dispute prevention &amp; resolution | 60.0% |</t>
  </si>
  <si>
    <t>| 10. How is AI used across the BA control lifecycle? (Multi-select) |  |</t>
  </si>
  <si>
    <t>| Designing / creating controls | 45.0% |</t>
  </si>
  <si>
    <t>| Operating / executing controls | 60.0% |</t>
  </si>
  <si>
    <t>| Monitoring control performance | 70.0% |</t>
  </si>
  <si>
    <t>| Exception prioritization | 80.0% |</t>
  </si>
  <si>
    <t>| Risk estimation &amp; impact assessment | 75.0% |</t>
  </si>
  <si>
    <t>| Designing / creating controls | 50.0% |</t>
  </si>
  <si>
    <t>| Operating / executing controls | 65.0% |</t>
  </si>
  <si>
    <t>| Monitoring control performance | 75.0% |</t>
  </si>
  <si>
    <t>| Risk estimation &amp; impact assessment | 80.0% |</t>
  </si>
  <si>
    <t>| Monitoring control performance | 65.0% |</t>
  </si>
  <si>
    <t>| Risk estimation &amp; impact assessment | 65.0% |</t>
  </si>
  <si>
    <t>| 11. AI usage for insights &amp; reporting (Multi-select) |  |</t>
  </si>
  <si>
    <t>| Dashboards &amp; visualization | 80.0% |</t>
  </si>
  <si>
    <t>| Automated reports | 75.0% |</t>
  </si>
  <si>
    <t>| Dashboards &amp; visualization | 85.0% |</t>
  </si>
  <si>
    <t>| Predictive insights | 70.0% |</t>
  </si>
  <si>
    <t>| Root cause analysis | 70.0% |</t>
  </si>
  <si>
    <t>| Executive summaries | 45.0% |</t>
  </si>
  <si>
    <t>| Root cause analysis | 60.0% |</t>
  </si>
  <si>
    <t>| Integration with existing systems | 12.0% |</t>
  </si>
  <si>
    <t>| Regulatory / compliance concerns | 3.0% |</t>
  </si>
  <si>
    <t>| AI-powered anomaly detection reduced revenue leakage by 15% through automated identification of billing discrepancies in real-time. | N/A |</t>
  </si>
  <si>
    <t>| Machine learning models cut SIM box fraud losses by 40% by detecting patterns in international call traffic that human analysts missed. | N/A |</t>
  </si>
  <si>
    <t>| AI-driven data quality checks improved reconciliation accuracy by 25% and reduced manual effort in partner settlement processes. | N/A |</t>
  </si>
  <si>
    <t>| Estimated total participants - Revenue Assurance | 120 |</t>
  </si>
  <si>
    <t>| Estimated total participants - Fraud Management | 70 |</t>
  </si>
  <si>
    <t>| Estimated total participants - Other | 40 |</t>
  </si>
  <si>
    <t>Grok 4.1-Fast</t>
  </si>
  <si>
    <t>| Middle East | 7.0% |</t>
  </si>
  <si>
    <t>| Asia | 20.0% |</t>
  </si>
  <si>
    <t>| MVNO | 8.0% |</t>
  </si>
  <si>
    <t>| Fixed Line telephony &amp; Internet connections | 5.0% |</t>
  </si>
  <si>
    <t>| 5 to 10 million | 18.0% |</t>
  </si>
  <si>
    <t>| &lt; 50 million US$ | 12.0% |</t>
  </si>
  <si>
    <t>| 1,000 to 5,000 million US$ | 22.0% |</t>
  </si>
  <si>
    <t>| Not using AI today | 30.0% |</t>
  </si>
  <si>
    <t>| BA vendor solutions | 45.0% |</t>
  </si>
  <si>
    <t>| General AI vendors / platforms | 50.0% |</t>
  </si>
  <si>
    <t>| Internally developed | 20.0% |</t>
  </si>
  <si>
    <t>| BA vendor solutions | 30.0% |</t>
  </si>
  <si>
    <t>| Customer impact analysis | 30.0% |</t>
  </si>
  <si>
    <t>| Monitoring partner behaviour / anomalies | 45.0% |</t>
  </si>
  <si>
    <t>| Monitoring partner behaviour / anomalies | 30.0% |</t>
  </si>
  <si>
    <t>| Dispute prevention &amp; resolution | 20.0% |</t>
  </si>
  <si>
    <t>| Not used for third-party interactions | 50.0% |</t>
  </si>
  <si>
    <t>| Designing / creating controls | 15.0% |</t>
  </si>
  <si>
    <t>| Operating / executing controls | 25.0% |</t>
  </si>
  <si>
    <t>| Not used for reporting | 25.0% |</t>
  </si>
  <si>
    <t>| Automated reports | 35.0% |</t>
  </si>
  <si>
    <t>| Dashboards &amp; visualization | 45.0% |</t>
  </si>
  <si>
    <t>| Predictive insights | 25.0% |</t>
  </si>
  <si>
    <t>| Not used for reporting | 40.0% |</t>
  </si>
  <si>
    <t>| AI automated revenue leakage detection by identifying high-value anomalies in billing data with 90% accuracy. | N/A |</t>
  </si>
  <si>
    <t>| AI real-time fraud detection reduced false positives by 40% and caught international bypassing attempts instantly. | N/A |</t>
  </si>
  <si>
    <t>| AI improved data reconciliation processes by flagging inconsistencies across multiple systems automatically. | N/A |</t>
  </si>
  <si>
    <t>| Estimated total participants - Revenue Assurance | 110 |</t>
  </si>
  <si>
    <t>| Estimated total participants - Fraud Management | 60 |</t>
  </si>
  <si>
    <t>Grok 4.1-Fast (Reasoning)</t>
  </si>
  <si>
    <t>|---|---|</t>
  </si>
  <si>
    <t>| Latin America | 6.0% |</t>
  </si>
  <si>
    <t>| Australia / Oceania | 2.0% |</t>
  </si>
  <si>
    <t>| Middle East | 4.0% |</t>
  </si>
  <si>
    <t>| Asia | 35.0% |</t>
  </si>
  <si>
    <t>| Western Europe | 22.0% |</t>
  </si>
  <si>
    <t>| Triple play | 6.0% |</t>
  </si>
  <si>
    <t>| MVNO | 3.0% |</t>
  </si>
  <si>
    <t>| IoT Connectivity Supplier | 2.0% |</t>
  </si>
  <si>
    <t>| Operator / Wholesale services | 42.0% |</t>
  </si>
  <si>
    <t>| Mobility services | 24.0% |</t>
  </si>
  <si>
    <t>| 1.5 to 5 million | 15.0% |</t>
  </si>
  <si>
    <t>| 20 to 50 million | 22.0% |</t>
  </si>
  <si>
    <t>| &gt; 50 million | 17.0% |</t>
  </si>
  <si>
    <t>| &lt; 50 million US$ | 4.0% |</t>
  </si>
  <si>
    <t>| 50 to 250 million US$ | 12.0% |</t>
  </si>
  <si>
    <t>| System integrators / consultants | 45.0% |</t>
  </si>
  <si>
    <t>| Internally developed | 50.0% |</t>
  </si>
  <si>
    <t>| General AI vendors / platforms | 55.0% |</t>
  </si>
  <si>
    <t>| Academic partnerships | 18.0% |</t>
  </si>
  <si>
    <t>| System integrators / consultants | 50.0% |</t>
  </si>
  <si>
    <t>| General AI vendors / platforms | 60.0% |</t>
  </si>
  <si>
    <t>| System integrators / consultants | 40.0% |</t>
  </si>
  <si>
    <t>| Dispute prevention &amp; resolution | 35.0% |</t>
  </si>
  <si>
    <t>| Detecting fraud against third parties | 65.0% |</t>
  </si>
  <si>
    <t>| Exception prioritization | 45.0% |</t>
  </si>
  <si>
    <t>| Not used for reporting | 30.0% |</t>
  </si>
  <si>
    <t>| Skills &amp; expertise | 30.0% |</t>
  </si>
  <si>
    <t>| AI automated revenue reconciliation processes, identifying leakage opportunities much faster than traditional methods. | N/A |</t>
  </si>
  <si>
    <t>| AI enabled real-time fraud detection with machine learning models that reduced false positives and caught emerging patterns. | N/A |</t>
  </si>
  <si>
    <t>| AI improved data quality monitoring, flagging inconsistencies across systems for quicker resolution. | N/A |</t>
  </si>
  <si>
    <t>| Estimated total participants - Other | 25 |</t>
  </si>
  <si>
    <t>Claude Haiku 4.5</t>
  </si>
  <si>
    <t>| Australia / Oceania | 6.0% |</t>
  </si>
  <si>
    <t>| Asia | 24.0% |</t>
  </si>
  <si>
    <t>| Eastern Europe | 11.0% |</t>
  </si>
  <si>
    <t>| Triple play | 18.0% |</t>
  </si>
  <si>
    <t>| Operator / Wholesale services | 22.0% |</t>
  </si>
  <si>
    <t>| Cable business e.g., line rental / Fiber sales | 9.0% |</t>
  </si>
  <si>
    <t>| Mobility services | 19.0% |</t>
  </si>
  <si>
    <t>| Fixed Line telephony &amp; Internet connections | 6.0% |</t>
  </si>
  <si>
    <t>| 10 to 20 million | 19.0% |</t>
  </si>
  <si>
    <t>| &gt; 50 million | 13.0% |</t>
  </si>
  <si>
    <t>| 50 to 250 million US$ | 14.0% |</t>
  </si>
  <si>
    <t>| 1,000 to 5,000 million US$ | 26.0% |</t>
  </si>
  <si>
    <t>| 5,000 to 10,000 million US$ | 18.0% |</t>
  </si>
  <si>
    <t>| &gt; 10,000 million US$ | 14.0% |</t>
  </si>
  <si>
    <t>| I do not know | 2.0% |</t>
  </si>
  <si>
    <t>| Exploring / pilots | 26.0% |</t>
  </si>
  <si>
    <t>| In limited production use | 36.0% |</t>
  </si>
  <si>
    <t>| In limited production use | 28.0% |</t>
  </si>
  <si>
    <t>| Widely used in BA operations | 16.0% |</t>
  </si>
  <si>
    <t>| BA vendor solutions | 62.0% |</t>
  </si>
  <si>
    <t>| General AI vendors / platforms | 46.0% |</t>
  </si>
  <si>
    <t>| System integrators / consultants | 22.0% |</t>
  </si>
  <si>
    <t>| Revenue leakage detection | 74.0% |</t>
  </si>
  <si>
    <t>| Fraud detection | 52.0% |</t>
  </si>
  <si>
    <t>| Partner / interconnect assurance | 44.0% |</t>
  </si>
  <si>
    <t>| Wholesale / roaming | 38.0% |</t>
  </si>
  <si>
    <t>| Revenue leakage detection | 36.0% |</t>
  </si>
  <si>
    <t>| Partner / interconnect assurance | 32.0% |</t>
  </si>
  <si>
    <t>| Wholesale / roaming | 26.0% |</t>
  </si>
  <si>
    <t>| Customer impact analysis | 42.0% |</t>
  </si>
  <si>
    <t>| Revenue leakage detection | 32.0% |</t>
  </si>
  <si>
    <t>| Fraud detection | 54.0% |</t>
  </si>
  <si>
    <t>| Partner / interconnect assurance | 24.0% |</t>
  </si>
  <si>
    <t>| Wholesale / roaming | 18.0% |</t>
  </si>
  <si>
    <t>| Customer impact analysis | 38.0% |</t>
  </si>
  <si>
    <t>| Detecting fraud by third parties | 48.0% |</t>
  </si>
  <si>
    <t>| Detecting fraud against third parties | 42.0% |</t>
  </si>
  <si>
    <t>| Monitoring partner behaviour / anomalies | 62.0% |</t>
  </si>
  <si>
    <t>| Dispute prevention &amp; resolution | 44.0% |</t>
  </si>
  <si>
    <t>| Detecting fraud by third parties | 56.0% |</t>
  </si>
  <si>
    <t>| Detecting fraud against third parties | 52.0% |</t>
  </si>
  <si>
    <t>| Monitoring partner behaviour / anomalies | 54.0% |</t>
  </si>
  <si>
    <t>| Dispute prevention &amp; resolution | 38.0% |</t>
  </si>
  <si>
    <t>| Not used for third-party interactions | 12.0% |</t>
  </si>
  <si>
    <t>| Monitoring partner behaviour / anomalies | 32.0% |</t>
  </si>
  <si>
    <t>| Not used for third-party interactions | 42.0% |</t>
  </si>
  <si>
    <t>| Designing / creating controls | 36.0% |</t>
  </si>
  <si>
    <t>| Monitoring control performance | 64.0% |</t>
  </si>
  <si>
    <t>| Exception prioritization | 72.0% |</t>
  </si>
  <si>
    <t>| Designing / creating controls | 32.0% |</t>
  </si>
  <si>
    <t>| Operating / executing controls | 62.0% |</t>
  </si>
  <si>
    <t>| Monitoring control performance | 68.0% |</t>
  </si>
  <si>
    <t>| Exception prioritization | 76.0% |</t>
  </si>
  <si>
    <t>| Risk estimation &amp; impact assessment | 54.0% |</t>
  </si>
  <si>
    <t>| Designing / creating controls | 18.0% |</t>
  </si>
  <si>
    <t>| Operating / executing controls | 34.0% |</t>
  </si>
  <si>
    <t>| Monitoring control performance | 42.0% |</t>
  </si>
  <si>
    <t>| Exception prioritization | 48.0% |</t>
  </si>
  <si>
    <t>| Risk estimation &amp; impact assessment | 32.0% |</t>
  </si>
  <si>
    <t>| Automated reports | 58.0% |</t>
  </si>
  <si>
    <t>| Dashboards &amp; visualization | 66.0% |</t>
  </si>
  <si>
    <t>| Root cause analysis | 54.0% |</t>
  </si>
  <si>
    <t>| Executive summaries | 44.0% |</t>
  </si>
  <si>
    <t>| Dashboards &amp; visualization | 62.0% |</t>
  </si>
  <si>
    <t>| Predictive insights | 56.0% |</t>
  </si>
  <si>
    <t>| Root cause analysis | 48.0% |</t>
  </si>
  <si>
    <t>| Executive summaries | 42.0% |</t>
  </si>
  <si>
    <t>| Not used for reporting | 6.0% |</t>
  </si>
  <si>
    <t>| Root cause analysis | 32.0% |</t>
  </si>
  <si>
    <t>| Not used for reporting | 28.0% |</t>
  </si>
  <si>
    <t>| Explainability &amp; trust | 26.0% |</t>
  </si>
  <si>
    <t>| Skills &amp; expertise | 24.0% |</t>
  </si>
  <si>
    <t>| Integration with existing systems | 14.0% |</t>
  </si>
  <si>
    <t>| AI identified and ranked revenue leakage patterns by financial impact, reducing manual investigation time by 60%. | N/A |</t>
  </si>
  <si>
    <t>| AI enhanced fraud detection accuracy by identifying subtle behavior anomalies that human analysts missed previously. | N/A |</t>
  </si>
  <si>
    <t>| AI improved data reconciliation quality and enabled faster root cause analysis for operational issues. | N/A |</t>
  </si>
  <si>
    <t>| Estimated total participants - Revenue Assurance | 88 |</t>
  </si>
  <si>
    <t>| Estimated total participants - Fraud Management | 56 |</t>
  </si>
  <si>
    <t>| Estimated total participants - Other | 24 |</t>
  </si>
  <si>
    <t>Gemini Flash 3</t>
  </si>
  <si>
    <t>Gemini Pro 3</t>
  </si>
  <si>
    <t>| MVNO | 15.0% |</t>
  </si>
  <si>
    <t>| TV services (IP and cable) | 6.0% |</t>
  </si>
  <si>
    <t>| 5 to 10 million | 25.0% |</t>
  </si>
  <si>
    <t>| Exploring / pilots | 45.0% |</t>
  </si>
  <si>
    <t>| Widely used in BA operations | 5.0% |</t>
  </si>
  <si>
    <t>| BA vendor solutions | 70.0% |</t>
  </si>
  <si>
    <t>| General AI vendors / platforms | 25.0% |</t>
  </si>
  <si>
    <t>| Data quality &amp; reconciliation | 35.0% |</t>
  </si>
  <si>
    <t>| Revenue leakage detection | 45.0% |</t>
  </si>
  <si>
    <t>| Detecting fraud against third parties | 10.0% |</t>
  </si>
  <si>
    <t>| Detecting fraud by third parties | 80.0% |</t>
  </si>
  <si>
    <t>| Operating / executing controls | 75.0% |</t>
  </si>
  <si>
    <t>| Monitoring control performance | 80.0% |</t>
  </si>
  <si>
    <t>| Risk estimation &amp; impact assessment | 70.0% |</t>
  </si>
  <si>
    <t>| Exception prioritization | 40.0% |</t>
  </si>
  <si>
    <t>| Automated reports | 60.0% |</t>
  </si>
  <si>
    <t>| Predictive insights | 65.0% |</t>
  </si>
  <si>
    <t>| Cost / ROI justification | 7.0% |</t>
  </si>
  <si>
    <t>| No major challenges | 1.0% |</t>
  </si>
  <si>
    <t>| Regulatory / compliance concerns | 9.0% |</t>
  </si>
  <si>
    <t>| Machine learning clustering helped us automatically identify unbilled usage records stuck in mediation before they impacted the billing cycle. | N/A |</t>
  </si>
  <si>
    <t>| Implementing a deep learning model allowed us to detect complex IRSF (International Revenue Share Fraud) patterns in near real-time, drastically reducing financial losses. | N/A |</t>
  </si>
  <si>
    <t>| AI automated the reconciliation of massive datasets across disparate legacy systems, freeing up analysts to focus on higher-value process improvements. | N/A |</t>
  </si>
  <si>
    <t>| Estimated total participants - Revenue Assurance | 85 |</t>
  </si>
  <si>
    <t>| Africa | 15.0% |</t>
  </si>
  <si>
    <t>| IoT Connectivity Supplier | 4.0% |</t>
  </si>
  <si>
    <t>| Other services | 2.0% |</t>
  </si>
  <si>
    <t>| Operator / Wholesale services | 15.0% |</t>
  </si>
  <si>
    <t>| Mobility services | 22.0% |</t>
  </si>
  <si>
    <t>| Fixed Line telephony &amp; Internet connections | 25.0% |</t>
  </si>
  <si>
    <t>| 5 to 10 million | 15.0% |</t>
  </si>
  <si>
    <t>| 20 to 50 million | 20.0% |</t>
  </si>
  <si>
    <t>| 5,000 to 10,000 million US$ | 12.0% |</t>
  </si>
  <si>
    <t>| I do not know | 8.0% |</t>
  </si>
  <si>
    <t>| Exploring / pilots | 38.0% |</t>
  </si>
  <si>
    <t>| In limited production use | 22.0% |</t>
  </si>
  <si>
    <t>| General AI vendors / platforms | 22.0% |</t>
  </si>
  <si>
    <t>| Academic partnerships | 4.0% |</t>
  </si>
  <si>
    <t>| Revenue leakage detection | 85.0% |</t>
  </si>
  <si>
    <t>| Fraud detection | 92.0% |</t>
  </si>
  <si>
    <t>| Partner / interconnect assurance | 15.0% |</t>
  </si>
  <si>
    <t>| Monitoring partner behaviour / anomalies | 25.0% |</t>
  </si>
  <si>
    <t>| Not used for third-party interactions | 45.0% |</t>
  </si>
  <si>
    <t>| Monitoring control performance | 35.0% |</t>
  </si>
  <si>
    <t>| Risk estimation &amp; impact assessment | 30.0% |</t>
  </si>
  <si>
    <t>| Predictive insights | 30.0% |</t>
  </si>
  <si>
    <t>| Predictive insights | 20.0% |</t>
  </si>
  <si>
    <t>| Data quality / availability | 42.0% |</t>
  </si>
  <si>
    <t>| Data quality / availability | 45.0% |</t>
  </si>
  <si>
    <t>| AI automated the identification and prioritization of billing discrepancies, reducing manual investigation time by 40%. | N/A |</t>
  </si>
  <si>
    <t>| Machine learning models significantly reduced false positives in roaming fraud detection, allowing the team to focus on high-probability cases. | N/A |</t>
  </si>
  <si>
    <t>| We used AI to correlate network performance data with customer billing records to identify churn risks related to poor service quality. | N/A |</t>
  </si>
  <si>
    <t xml:space="preserve">
GPT-5.2</t>
  </si>
  <si>
    <t>| Latin America | 9.0% |</t>
  </si>
  <si>
    <t>| Middle East | 9.0% |</t>
  </si>
  <si>
    <t>| Asia | 28.0% |</t>
  </si>
  <si>
    <t>| Eastern Europe | 6.0% |</t>
  </si>
  <si>
    <t>| IoT Connectivity Supplier | 6.0% |</t>
  </si>
  <si>
    <t>| Operator / Wholesale services | 18.0% |</t>
  </si>
  <si>
    <t>| Mobility services | 26.0% |</t>
  </si>
  <si>
    <t>| 10 to 20 million | 16.0% |</t>
  </si>
  <si>
    <t>| &gt; 50 million | 12.0% |</t>
  </si>
  <si>
    <t>| &lt; 50 million US$ | 7.0% |</t>
  </si>
  <si>
    <t>| 1,000 to 5,000 million US$ | 23.0% |</t>
  </si>
  <si>
    <t>| &gt; 10,000 million US$ | 13.0% |</t>
  </si>
  <si>
    <t>| Not using AI today | 16.0% |</t>
  </si>
  <si>
    <t>| AI-driven BA is a strategic priority | 4.0% |</t>
  </si>
  <si>
    <t>| BA vendor solutions | 46.0% |</t>
  </si>
  <si>
    <t>| General AI vendors / platforms | 34.0% |</t>
  </si>
  <si>
    <t>| System integrators / consultants | 41.0% |</t>
  </si>
  <si>
    <t>| Internally developed | 44.0% |</t>
  </si>
  <si>
    <t>| Academic partnerships | 9.0% |</t>
  </si>
  <si>
    <t>| Internally developed | 28.0% |</t>
  </si>
  <si>
    <t>| BA vendor solutions | 33.0% |</t>
  </si>
  <si>
    <t>| Revenue leakage detection | 62.0% |</t>
  </si>
  <si>
    <t>| Fraud detection | 28.0% |</t>
  </si>
  <si>
    <t>| Data quality &amp; reconciliation | 54.0% |</t>
  </si>
  <si>
    <t>| Wholesale / roaming | 29.0% |</t>
  </si>
  <si>
    <t>| Customer impact analysis | 34.0% |</t>
  </si>
  <si>
    <t>| Other | 9.0% |</t>
  </si>
  <si>
    <t>| Fraud detection | 74.0% |</t>
  </si>
  <si>
    <t>| Data quality &amp; reconciliation | 42.0% |</t>
  </si>
  <si>
    <t>| Partner / interconnect assurance | 26.0% |</t>
  </si>
  <si>
    <t>| Customer impact analysis | 33.0% |</t>
  </si>
  <si>
    <t>| Detecting fraud by third parties | 23.0% |</t>
  </si>
  <si>
    <t>| Monitoring partner behaviour / anomalies | 41.0% |</t>
  </si>
  <si>
    <t>| Dispute prevention &amp; resolution | 33.0% |</t>
  </si>
  <si>
    <t>| Not used for third-party interactions | 36.0% |</t>
  </si>
  <si>
    <t>| Detecting fraud by third parties | 36.0% |</t>
  </si>
  <si>
    <t>| Not used for third-party interactions | 33.0% |</t>
  </si>
  <si>
    <t>| Not used for third-party interactions | 48.0% |</t>
  </si>
  <si>
    <t>| Operating / executing controls | 38.0% |</t>
  </si>
  <si>
    <t>| Exception prioritization | 56.0% |</t>
  </si>
  <si>
    <t>| Risk estimation &amp; impact assessment | 44.0% |</t>
  </si>
  <si>
    <t>| Operating / executing controls | 46.0% |</t>
  </si>
  <si>
    <t>| Monitoring control performance | 34.0% |</t>
  </si>
  <si>
    <t>| Risk estimation &amp; impact assessment | 33.0% |</t>
  </si>
  <si>
    <t>| Predictive insights | 34.0% |</t>
  </si>
  <si>
    <t>| Root cause analysis | 31.0% |</t>
  </si>
  <si>
    <t>| Automated reports | 32.0% |</t>
  </si>
  <si>
    <t>| Predictive insights | 42.0% |</t>
  </si>
  <si>
    <t>| Root cause analysis | 28.0% |</t>
  </si>
  <si>
    <t>| Executive summaries | 18.0% |</t>
  </si>
  <si>
    <t>| Not used for reporting | 31.0% |</t>
  </si>
  <si>
    <t>| Automated reports | 28.0% |</t>
  </si>
  <si>
    <t>| Root cause analysis | 24.0% |</t>
  </si>
  <si>
    <t>| Explainability &amp; trust | 14.0% |</t>
  </si>
  <si>
    <t>| Cost / ROI justification | 16.0% |</t>
  </si>
  <si>
    <t>| Regulatory / compliance concerns | 14.0% |</t>
  </si>
  <si>
    <t>| Data quality / availability | 26.0% |</t>
  </si>
  <si>
    <t>| Cost / ROI justification | 19.0% |</t>
  </si>
  <si>
    <t>| AI helped us prioritize revenue leakage anomalies by ranking cases by expected financial impact and reducing manual triage time. | N/A |</t>
  </si>
  <si>
    <t>| AI improved fraud detection by spotting suspicious SIM-box and identity patterns earlier, cutting false positives for investigators. | N/A |</t>
  </si>
  <si>
    <t>| AI improved data quality by detecting reconciliation breaks and automating issue classification so teams fixed the right problems faster. | N/A |</t>
  </si>
  <si>
    <t>| Estimated total participants - Revenue Assurance | 210 |</t>
  </si>
  <si>
    <t>| Estimated total participants - Fraud Management | 115 |</t>
  </si>
  <si>
    <t>| Estimated total participants - Other | 55 |</t>
  </si>
  <si>
    <t xml:space="preserve">
GPT-5</t>
  </si>
  <si>
    <t>| Eastern Europe | 5.0% |</t>
  </si>
  <si>
    <t>| Africa | 4.0% |</t>
  </si>
  <si>
    <t>| Western Europe | 28.0% |</t>
  </si>
  <si>
    <t>| Other services | 3.0% |</t>
  </si>
  <si>
    <t>| Mobility services | 38.0% |</t>
  </si>
  <si>
    <t>| Fixed Line telephony &amp; Internet connections | 9.0% |</t>
  </si>
  <si>
    <t>| 5 to 10 million | 14.0% |</t>
  </si>
  <si>
    <t>| 10 to 20 million | 14.0% |</t>
  </si>
  <si>
    <t>| 20 to 50 million | 16.0% |</t>
  </si>
  <si>
    <t>| &gt; 50 million | 22.0% |</t>
  </si>
  <si>
    <t>| 1,000 to 5,000 million US$ | 28.0% |</t>
  </si>
  <si>
    <t>| 5,000 to 10,000 million US$ | 11.0% |</t>
  </si>
  <si>
    <t>| &gt; 10,000 million US$ | 24.0% |</t>
  </si>
  <si>
    <t>| Revenue Assurance | 57.0% |</t>
  </si>
  <si>
    <t>| Other | 13.0% |</t>
  </si>
  <si>
    <t>| AI-driven BA is a strategic priority | 9.0% |</t>
  </si>
  <si>
    <t>| General AI vendors / platforms | 52.0% |</t>
  </si>
  <si>
    <t>| System integrators / consultants | 34.0% |</t>
  </si>
  <si>
    <t>| BA vendor solutions | 25.0% |</t>
  </si>
  <si>
    <t>| Data quality &amp; reconciliation | 67.0% |</t>
  </si>
  <si>
    <t>| Customer impact analysis | 48.0% |</t>
  </si>
  <si>
    <t>| Not used for third-party interactions | 8.0% |</t>
  </si>
  <si>
    <t>| Detecting fraud by third parties | 50.0% |</t>
  </si>
  <si>
    <t>| Monitoring partner behaviour / anomalies | 42.0% |</t>
  </si>
  <si>
    <t>| Not used for third-party interactions | 6.0% |</t>
  </si>
  <si>
    <t>| Detecting fraud by third parties | 22.0% |</t>
  </si>
  <si>
    <t>| Detecting fraud against third parties | 18.0% |</t>
  </si>
  <si>
    <t>| Exception prioritization | 66.0% |</t>
  </si>
  <si>
    <t>| Dashboards &amp; visualization | 72.0% |</t>
  </si>
  <si>
    <t>| Predictive insights | 60.0% |</t>
  </si>
  <si>
    <t>| Dashboards &amp; visualization | 68.0% |</t>
  </si>
  <si>
    <t>| Dashboards &amp; visualization | 56.0% |</t>
  </si>
  <si>
    <t>| Integration with existing systems | 17.0% |</t>
  </si>
  <si>
    <t>| Regulatory / compliance concerns | 6.0% |</t>
  </si>
  <si>
    <t>| No major challenges | 6.0% |</t>
  </si>
  <si>
    <t>| AI helped us prioritize revenue leakage cases by ranking anomalies by expected financial impact and recommending recovery actions. | N/A |</t>
  </si>
  <si>
    <t>| AI quickly detected SIM-swap and subscription fraud by correlating device and behavioral signals, reducing losses and investigation time. | N/A |</t>
  </si>
  <si>
    <t>| AI automated reconciliation between billing and network records, cutting month-end close time and improving reporting accuracy. | N/A |</t>
  </si>
  <si>
    <t>| Estimated total participants - Revenue Assurance | 114 |</t>
  </si>
  <si>
    <t>| Estimated total participants - Other | 26 |</t>
  </si>
  <si>
    <t>GPT-5 Mini</t>
  </si>
  <si>
    <t>|Q1. In what region does your Company operate?|  |</t>
  </si>
  <si>
    <t>|North America| 18.0% |</t>
  </si>
  <si>
    <t>|Latin America| 5.0% |</t>
  </si>
  <si>
    <t>|Australia / Oceania| 5.0% |</t>
  </si>
  <si>
    <t>|Middle East| 5.0% |</t>
  </si>
  <si>
    <t>|Asia| 32.0% |</t>
  </si>
  <si>
    <t>|Eastern Europe| 7.0% |</t>
  </si>
  <si>
    <t>|Africa| 6.0% |</t>
  </si>
  <si>
    <t>|Western Europe| 22.0% |</t>
  </si>
  <si>
    <t>|Q2. What is the main focus of your company?|  |</t>
  </si>
  <si>
    <t>|Triple play| 15.0% |</t>
  </si>
  <si>
    <t>|MVNO| 4.0% |</t>
  </si>
  <si>
    <t>|IoT Connectivity Supplier| 12.0% |</t>
  </si>
  <si>
    <t>|Other services| 10.0% |</t>
  </si>
  <si>
    <t>|Operator / Wholesale services| 25.0% |</t>
  </si>
  <si>
    <t>|Cable business e.g., line rental / Fiber sales| 5.0% |</t>
  </si>
  <si>
    <t>|TV services (IP and cable)| 7.0% |</t>
  </si>
  <si>
    <t>|Mobility services| 20.0% |</t>
  </si>
  <si>
    <t>|Fixed Line telephony &amp; Internet connections| 2.0% |</t>
  </si>
  <si>
    <t>|Q3. How many subscribers (in millions) does your Company have for subscription-based services?|  |</t>
  </si>
  <si>
    <t>|0.5 to 1.5 million| 12.0% |</t>
  </si>
  <si>
    <t>|1.5 to 5 million| 28.0% |</t>
  </si>
  <si>
    <t>|5 to 10 million| 25.0% |</t>
  </si>
  <si>
    <t>|10 to 20 million| 18.0% |</t>
  </si>
  <si>
    <t>|20 to 50 million| 12.0% |</t>
  </si>
  <si>
    <t>|&gt; 50 million| 5.0% |</t>
  </si>
  <si>
    <t>|Q4. What is the annual revenue (in million US$) of your Company?|  |</t>
  </si>
  <si>
    <t>|&lt; 50 million US$| 5.0% |</t>
  </si>
  <si>
    <t>|50 to 250 million US$| 25.0% |</t>
  </si>
  <si>
    <t>|250 to 1,000 million US$| 35.0% |</t>
  </si>
  <si>
    <t>|1,000 to 5,000 million US$| 25.0% |</t>
  </si>
  <si>
    <t>|5,000 to 10,000 million US$| 7.0% |</t>
  </si>
  <si>
    <t>|&gt; 10,000 million US$| 3.0% |</t>
  </si>
  <si>
    <t>|I do not know| 0.0% |</t>
  </si>
  <si>
    <t>|Q5. From which perspective will you answer the rest of the survey?|  |</t>
  </si>
  <si>
    <t>|Revenue Assurance| 50.0% |</t>
  </si>
  <si>
    <t>|Fraud Management| 35.0% |</t>
  </si>
  <si>
    <t>|Other| 15.0% |</t>
  </si>
  <si>
    <t>|Q6. AI adoption status|  |</t>
  </si>
  <si>
    <t>|Revenue Assurance|  |</t>
  </si>
  <si>
    <t>|Not using AI today| 15.0% |</t>
  </si>
  <si>
    <t>|Exploring / pilots| 30.0% |</t>
  </si>
  <si>
    <t>|In limited production use| 35.0% |</t>
  </si>
  <si>
    <t>|Widely used in BA operations| 15.0% |</t>
  </si>
  <si>
    <t>|AI-driven BA is a strategic priority| 5.0% |</t>
  </si>
  <si>
    <t>|Fraud Management|  |</t>
  </si>
  <si>
    <t>|Not using AI today| 12.0% |</t>
  </si>
  <si>
    <t>|Exploring / pilots| 28.0% |</t>
  </si>
  <si>
    <t>|In limited production use| 34.0% |</t>
  </si>
  <si>
    <t>|Widely used in BA operations| 16.0% |</t>
  </si>
  <si>
    <t>|AI-driven BA is a strategic priority| 10.0% |</t>
  </si>
  <si>
    <t>|Other|  |</t>
  </si>
  <si>
    <t>|Not using AI today| 25.0% |</t>
  </si>
  <si>
    <t>|Exploring / pilots| 40.0% |</t>
  </si>
  <si>
    <t>|In limited production use| 25.0% |</t>
  </si>
  <si>
    <t>|Widely used in BA operations| 8.0% |</t>
  </si>
  <si>
    <t>|AI-driven BA is a strategic priority| 2.0% |</t>
  </si>
  <si>
    <t>|Q7. How are AI capabilities for BA created or acquired? (Multi-select)|  |</t>
  </si>
  <si>
    <t>|Internally developed| 25.0% |</t>
  </si>
  <si>
    <t>|BA vendor solutions| 40.0% |</t>
  </si>
  <si>
    <t>|General AI vendors / platforms| 50.0% |</t>
  </si>
  <si>
    <t>|Academic partnerships| 10.0% |</t>
  </si>
  <si>
    <t>|System integrators / consultants| 20.0% |</t>
  </si>
  <si>
    <t>|Other| 8.0% |</t>
  </si>
  <si>
    <t>|Internally developed| 20.0% |</t>
  </si>
  <si>
    <t>|BA vendor solutions| 45.0% |</t>
  </si>
  <si>
    <t>|General AI vendors / platforms| 55.0% |</t>
  </si>
  <si>
    <t>|Academic partnerships| 8.0% |</t>
  </si>
  <si>
    <t>|System integrators / consultants| 25.0% |</t>
  </si>
  <si>
    <t>|Other| 6.0% |</t>
  </si>
  <si>
    <t>|Internally developed| 18.0% |</t>
  </si>
  <si>
    <t>|BA vendor solutions| 25.0% |</t>
  </si>
  <si>
    <t>|General AI vendors / platforms| 40.0% |</t>
  </si>
  <si>
    <t>|Academic partnerships| 12.0% |</t>
  </si>
  <si>
    <t>|System integrators / consultants| 15.0% |</t>
  </si>
  <si>
    <t>|Other| 10.0% |</t>
  </si>
  <si>
    <t>|Q8. Primary BA domains where AI is applied (Multi-select)|  |</t>
  </si>
  <si>
    <t>|Revenue leakage detection| 60.0% |</t>
  </si>
  <si>
    <t>|Fraud detection| 20.0% |</t>
  </si>
  <si>
    <t>|Data quality &amp; reconciliation| 55.0% |</t>
  </si>
  <si>
    <t>|Partner / interconnect assurance| 25.0% |</t>
  </si>
  <si>
    <t>|Wholesale / roaming| 18.0% |</t>
  </si>
  <si>
    <t>|Customer impact analysis| 40.0% |</t>
  </si>
  <si>
    <t>|Revenue leakage detection| 20.0% |</t>
  </si>
  <si>
    <t>|Fraud detection| 70.0% |</t>
  </si>
  <si>
    <t>|Data quality &amp; reconciliation| 35.0% |</t>
  </si>
  <si>
    <t>|Partner / interconnect assurance| 30.0% |</t>
  </si>
  <si>
    <t>|Wholesale / roaming| 25.0% |</t>
  </si>
  <si>
    <t>|Customer impact analysis| 25.0% |</t>
  </si>
  <si>
    <t>|Revenue leakage detection| 35.0% |</t>
  </si>
  <si>
    <t>|Fraud detection| 25.0% |</t>
  </si>
  <si>
    <t>|Data quality &amp; reconciliation| 40.0% |</t>
  </si>
  <si>
    <t>|Wholesale / roaming| 20.0% |</t>
  </si>
  <si>
    <t>|Customer impact analysis| 30.0% |</t>
  </si>
  <si>
    <t>|Other| 25.0% |</t>
  </si>
  <si>
    <t>|Q9. Use of AI in third-party interactions, which of the following apply? (Multi-select)|  |</t>
  </si>
  <si>
    <t>|Detecting fraud by third parties| 25.0% |</t>
  </si>
  <si>
    <t>|Detecting fraud against third parties| 40.0% |</t>
  </si>
  <si>
    <t>|Monitoring partner behaviour / anomalies| 30.0% |</t>
  </si>
  <si>
    <t>|Dispute prevention &amp; resolution| 20.0% |</t>
  </si>
  <si>
    <t>|Not used for third-party interactions| 15.0% |</t>
  </si>
  <si>
    <t>|Other| 5.0% |</t>
  </si>
  <si>
    <t>|Detecting fraud by third parties| 20.0% |</t>
  </si>
  <si>
    <t>|Detecting fraud against third parties| 50.0% |</t>
  </si>
  <si>
    <t>|Monitoring partner behaviour / anomalies| 35.0% |</t>
  </si>
  <si>
    <t>|Dispute prevention &amp; resolution| 25.0% |</t>
  </si>
  <si>
    <t>|Not used for third-party interactions| 10.0% |</t>
  </si>
  <si>
    <t>|Detecting fraud by third parties| 15.0% |</t>
  </si>
  <si>
    <t>|Detecting fraud against third parties| 20.0% |</t>
  </si>
  <si>
    <t>|Monitoring partner behaviour / anomalies| 25.0% |</t>
  </si>
  <si>
    <t>|Dispute prevention &amp; resolution| 15.0% |</t>
  </si>
  <si>
    <t>|Not used for third-party interactions| 25.0% |</t>
  </si>
  <si>
    <t>|Q10. How is AI used across the BA control lifecycle? (Multi-select)|  |</t>
  </si>
  <si>
    <t>|Designing / creating controls| 40.0% |</t>
  </si>
  <si>
    <t>|Operating / executing controls| 60.0% |</t>
  </si>
  <si>
    <t>|Monitoring control performance| 55.0% |</t>
  </si>
  <si>
    <t>|Exception prioritization| 50.0% |</t>
  </si>
  <si>
    <t>|Risk estimation &amp; impact assessment| 45.0% |</t>
  </si>
  <si>
    <t>|Designing / creating controls| 30.0% |</t>
  </si>
  <si>
    <t>|Operating / executing controls| 55.0% |</t>
  </si>
  <si>
    <t>|Monitoring control performance| 50.0% |</t>
  </si>
  <si>
    <t>|Exception prioritization| 40.0% |</t>
  </si>
  <si>
    <t>|Risk estimation &amp; impact assessment| 40.0% |</t>
  </si>
  <si>
    <t>|Other| 20.0% |</t>
  </si>
  <si>
    <t>|Designing / creating controls| 25.0% |</t>
  </si>
  <si>
    <t>|Operating / executing controls| 40.0% |</t>
  </si>
  <si>
    <t>|Monitoring control performance| 40.0% |</t>
  </si>
  <si>
    <t>|Exception prioritization| 35.0% |</t>
  </si>
  <si>
    <t>|Risk estimation &amp; impact assessment| 50.0% |</t>
  </si>
  <si>
    <t>|Q11. AI usage for insights &amp; reporting (Multi-select)|  |</t>
  </si>
  <si>
    <t>|Automated reports| 65.0% |</t>
  </si>
  <si>
    <t>|Dashboards &amp; visualization| 70.0% |</t>
  </si>
  <si>
    <t>|Predictive insights| 50.0% |</t>
  </si>
  <si>
    <t>|Root cause analysis| 45.0% |</t>
  </si>
  <si>
    <t>|Executive summaries| 40.0% |</t>
  </si>
  <si>
    <t>|Not used for reporting| 8.0% |</t>
  </si>
  <si>
    <t>|Automated reports| 60.0% |</t>
  </si>
  <si>
    <t>|Dashboards &amp; visualization| 65.0% |</t>
  </si>
  <si>
    <t>|Predictive insights| 55.0% |</t>
  </si>
  <si>
    <t>|Root cause analysis| 50.0% |</t>
  </si>
  <si>
    <t>|Not used for reporting| 12.0% |</t>
  </si>
  <si>
    <t>|Other| 12.0% |</t>
  </si>
  <si>
    <t>|Automated reports| 55.0% |</t>
  </si>
  <si>
    <t>|Dashboards &amp; visualization| 60.0% |</t>
  </si>
  <si>
    <t>|Predictive insights| 40.0% |</t>
  </si>
  <si>
    <t>|Root cause analysis| 40.0% |</t>
  </si>
  <si>
    <t>|Executive summaries| 35.0% |</t>
  </si>
  <si>
    <t>|Not used for reporting| 20.0% |</t>
  </si>
  <si>
    <t>|Q12. Biggest challenge in using AI for BA|  |</t>
  </si>
  <si>
    <t>|Data quality / availability| 40.0% |</t>
  </si>
  <si>
    <t>|Explainability &amp; trust| 25.0% |</t>
  </si>
  <si>
    <t>|Skills &amp; expertise| 30.0% |</t>
  </si>
  <si>
    <t>|Integration with existing systems| 35.0% |</t>
  </si>
  <si>
    <t>|Cost / ROI justification| 40.0% |</t>
  </si>
  <si>
    <t>|Regulatory / compliance concerns| 15.0% |</t>
  </si>
  <si>
    <t>|No major challenges| 5.0% |</t>
  </si>
  <si>
    <t>|Data quality / availability| 35.0% |</t>
  </si>
  <si>
    <t>|Explainability &amp; trust| 28.0% |</t>
  </si>
  <si>
    <t>|Skills &amp; expertise| 32.0% |</t>
  </si>
  <si>
    <t>|Integration with existing systems| 40.0% |</t>
  </si>
  <si>
    <t>|Cost / ROI justification| 25.0% |</t>
  </si>
  <si>
    <t>|Regulatory / compliance concerns| 20.0% |</t>
  </si>
  <si>
    <t>|No major challenges| 3.0% |</t>
  </si>
  <si>
    <t>|Data quality / availability| 45.0% |</t>
  </si>
  <si>
    <t>|Explainability &amp; trust| 20.0% |</t>
  </si>
  <si>
    <t>|Skills &amp; expertise| 25.0% |</t>
  </si>
  <si>
    <t>|Integration with existing systems| 30.0% |</t>
  </si>
  <si>
    <t>|Cost / ROI justification| 20.0% |</t>
  </si>
  <si>
    <t>|No major challenges| 10.0% |</t>
  </si>
  <si>
    <t>|Q13. What is one BA use case where AI delivered the most value?|  |</t>
  </si>
  <si>
    <t>|AI helped prioritize revenue leakage cases by ranking anomalies with the highest potential financial impact.| N/A |</t>
  </si>
  <si>
    <t>|AI enabled earlier detection of fraudulent patterns across roaming and prepaid, reducing manual investigations.| N/A |</t>
  </si>
  <si>
    <t>|AI helped surface operational anomalies and auto-generate executive summaries for senior stakeholders.| N/A |</t>
  </si>
  <si>
    <t>|Q14. Estimate the total number of participants that the survey will have.|  |</t>
  </si>
  <si>
    <t>|Estimated total participants - Revenue Assurance| 1250 |</t>
  </si>
  <si>
    <t>|Estimated total participants - Fraud Management| 875 |</t>
  </si>
  <si>
    <t>|Estimated total participants - Other| 375 |</t>
  </si>
  <si>
    <t/>
  </si>
  <si>
    <t xml:space="preserve"> North America </t>
  </si>
  <si>
    <t xml:space="preserve"> Western Europe </t>
  </si>
  <si>
    <t xml:space="preserve"> Latin America </t>
  </si>
  <si>
    <t xml:space="preserve"> Australia / Oceania </t>
  </si>
  <si>
    <t xml:space="preserve"> Asia </t>
  </si>
  <si>
    <t xml:space="preserve"> Middle East </t>
  </si>
  <si>
    <t xml:space="preserve"> Eastern Europe </t>
  </si>
  <si>
    <t xml:space="preserve"> Africa </t>
  </si>
  <si>
    <t xml:space="preserve"> Triple play </t>
  </si>
  <si>
    <t xml:space="preserve"> Mobility services </t>
  </si>
  <si>
    <t xml:space="preserve"> MVNO </t>
  </si>
  <si>
    <t xml:space="preserve"> Operator / Wholesale services </t>
  </si>
  <si>
    <t xml:space="preserve"> IoT Connectivity Supplier </t>
  </si>
  <si>
    <t xml:space="preserve"> Fixed Line telephony &amp; Internet connections </t>
  </si>
  <si>
    <t xml:space="preserve"> Other services </t>
  </si>
  <si>
    <t xml:space="preserve"> Cable business e.g., line rental / Fiber sales </t>
  </si>
  <si>
    <t xml:space="preserve"> TV services (IP and cable) </t>
  </si>
  <si>
    <t xml:space="preserve"> 0.5 to 1.5 million </t>
  </si>
  <si>
    <t xml:space="preserve"> 1.5 to 5 million </t>
  </si>
  <si>
    <t xml:space="preserve"> 5 to 10 million </t>
  </si>
  <si>
    <t xml:space="preserve"> 10 to 20 million </t>
  </si>
  <si>
    <t xml:space="preserve"> 20 to 50 million </t>
  </si>
  <si>
    <t xml:space="preserve"> &gt; 50 million </t>
  </si>
  <si>
    <t xml:space="preserve"> &lt; 50 million US$ </t>
  </si>
  <si>
    <t xml:space="preserve"> 50 to 250 million US$ </t>
  </si>
  <si>
    <t xml:space="preserve"> 250 to 1,000 million US$ </t>
  </si>
  <si>
    <t xml:space="preserve"> 1,000 to 5,000 million US$ </t>
  </si>
  <si>
    <t xml:space="preserve"> 5,000 to 10,000 million US$ </t>
  </si>
  <si>
    <t xml:space="preserve"> &gt; 10,000 million US$ </t>
  </si>
  <si>
    <t xml:space="preserve"> I do not know </t>
  </si>
  <si>
    <t xml:space="preserve"> Revenue Assurance </t>
  </si>
  <si>
    <t xml:space="preserve"> Fraud Management </t>
  </si>
  <si>
    <t xml:space="preserve"> Other </t>
  </si>
  <si>
    <t xml:space="preserve"> Not using AI today </t>
  </si>
  <si>
    <t xml:space="preserve"> Exploring / pilots </t>
  </si>
  <si>
    <t xml:space="preserve"> In limited production use </t>
  </si>
  <si>
    <t xml:space="preserve"> Widely used in BA operations </t>
  </si>
  <si>
    <t xml:space="preserve"> AI-driven BA is a strategic priority </t>
  </si>
  <si>
    <t xml:space="preserve"> Internally developed </t>
  </si>
  <si>
    <t xml:space="preserve"> BA vendor solutions </t>
  </si>
  <si>
    <t xml:space="preserve"> General AI vendors / platforms </t>
  </si>
  <si>
    <t xml:space="preserve"> Academic partnerships </t>
  </si>
  <si>
    <t xml:space="preserve"> System integrators / consultants </t>
  </si>
  <si>
    <t xml:space="preserve"> Revenue leakage detection </t>
  </si>
  <si>
    <t xml:space="preserve"> Fraud detection </t>
  </si>
  <si>
    <t xml:space="preserve"> Data quality &amp; reconciliation </t>
  </si>
  <si>
    <t xml:space="preserve"> Partner / interconnect assurance </t>
  </si>
  <si>
    <t xml:space="preserve"> Wholesale / roaming </t>
  </si>
  <si>
    <t xml:space="preserve"> Customer impact analysis </t>
  </si>
  <si>
    <t xml:space="preserve"> Detecting fraud by third parties </t>
  </si>
  <si>
    <t xml:space="preserve"> Detecting fraud against third parties </t>
  </si>
  <si>
    <t xml:space="preserve"> Monitoring partner behaviour / anomalies </t>
  </si>
  <si>
    <t xml:space="preserve"> Dispute prevention &amp; resolution </t>
  </si>
  <si>
    <t xml:space="preserve"> Not used for third-party interactions </t>
  </si>
  <si>
    <t xml:space="preserve"> Designing / creating controls </t>
  </si>
  <si>
    <t xml:space="preserve"> Operating / executing controls </t>
  </si>
  <si>
    <t xml:space="preserve"> Monitoring control performance </t>
  </si>
  <si>
    <t xml:space="preserve"> Exception prioritization </t>
  </si>
  <si>
    <t xml:space="preserve"> Risk estimation &amp; impact assessment </t>
  </si>
  <si>
    <t xml:space="preserve"> Automated reports </t>
  </si>
  <si>
    <t xml:space="preserve"> Dashboards &amp; visualization </t>
  </si>
  <si>
    <t xml:space="preserve"> Predictive insights </t>
  </si>
  <si>
    <t xml:space="preserve"> Root cause analysis </t>
  </si>
  <si>
    <t xml:space="preserve"> Executive summaries </t>
  </si>
  <si>
    <t xml:space="preserve"> Not used for reporting </t>
  </si>
  <si>
    <t xml:space="preserve"> Data quality / availability </t>
  </si>
  <si>
    <t xml:space="preserve"> Explainability &amp; trust </t>
  </si>
  <si>
    <t xml:space="preserve"> Skills &amp; expertise </t>
  </si>
  <si>
    <t xml:space="preserve"> Integration with existing systems </t>
  </si>
  <si>
    <t xml:space="preserve"> Cost / ROI justification </t>
  </si>
  <si>
    <t xml:space="preserve"> Regulatory / compliance concerns </t>
  </si>
  <si>
    <t xml:space="preserve"> No major challenges </t>
  </si>
  <si>
    <t xml:space="preserve"> Estimated total participants - Revenue Assurance </t>
  </si>
  <si>
    <t xml:space="preserve"> Estimated total participants - Fraud Management </t>
  </si>
  <si>
    <t xml:space="preserve"> Estimated total participants - Other </t>
  </si>
  <si>
    <t xml:space="preserve"> Questions and</t>
  </si>
  <si>
    <t>Answers</t>
  </si>
  <si>
    <t>Average</t>
  </si>
  <si>
    <t>Estimated total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</si>
</sst>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5"/>
      <color theme="1"/>
      <name val="Arial"/>
      <family val="2"/>
    </font>
    <font>
      <sz val="11"/>
      <color theme="1"/>
      <name val="Arial"/>
      <family val="2"/>
    </font>
    <font>
      <sz val="5"/>
      <color theme="1"/>
      <name val="Arial"/>
      <family val="2"/>
    </font>
    <font>
      <sz val="5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315899</xdr:rowOff>
    </xdr:to>
    <xdr:sp macro="" textlink="">
      <xdr:nvSpPr>
        <xdr:cNvPr id="1026" name="AutoShape 2" descr="Gemini Pro 3.1 icon">
          <a:extLst>
            <a:ext uri="{FF2B5EF4-FFF2-40B4-BE49-F238E27FC236}">
              <a16:creationId xmlns:a16="http://schemas.microsoft.com/office/drawing/2014/main" id="{BCD4CEF5-D010-16A3-FF67-3F375ACA0F7E}"/>
            </a:ext>
          </a:extLst>
        </xdr:cNvPr>
        <xdr:cNvSpPr>
          <a:spLocks noChangeAspect="1" noChangeArrowheads="1"/>
        </xdr:cNvSpPr>
      </xdr:nvSpPr>
      <xdr:spPr bwMode="auto">
        <a:xfrm>
          <a:off x="85820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319055</xdr:rowOff>
    </xdr:to>
    <xdr:sp macro="" textlink="">
      <xdr:nvSpPr>
        <xdr:cNvPr id="2" name="AutoShape 2" descr="Gemini Pro 3.1 icon">
          <a:extLst>
            <a:ext uri="{FF2B5EF4-FFF2-40B4-BE49-F238E27FC236}">
              <a16:creationId xmlns:a16="http://schemas.microsoft.com/office/drawing/2014/main" id="{10AAA2B9-F502-4352-9E63-5681DC41880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8315-985D-4866-84A4-7B9F4B51A1AB}">
  <dimension ref="A1:V212"/>
  <sheetViews>
    <sheetView topLeftCell="A27" workbookViewId="0">
      <selection activeCell="W63" sqref="W63"/>
    </sheetView>
  </sheetViews>
  <sheetFormatPr defaultRowHeight="14.25" x14ac:dyDescent="0.45"/>
  <cols>
    <col min="1" max="1" width="59.796875" customWidth="1"/>
    <col min="4" max="4" width="67.53125" customWidth="1"/>
    <col min="7" max="7" width="65.9296875" customWidth="1"/>
    <col min="10" max="10" width="44.3984375" customWidth="1"/>
    <col min="13" max="13" width="46.86328125" customWidth="1"/>
    <col min="16" max="16" width="53.46484375" customWidth="1"/>
    <col min="19" max="19" width="56.19921875" customWidth="1"/>
  </cols>
  <sheetData>
    <row r="1" spans="1:22" ht="28.5" x14ac:dyDescent="0.45">
      <c r="A1" s="2" t="s">
        <v>173</v>
      </c>
      <c r="B1" s="1"/>
      <c r="C1" s="2"/>
      <c r="D1" s="2" t="s">
        <v>174</v>
      </c>
      <c r="G1" t="s">
        <v>597</v>
      </c>
      <c r="J1" s="2" t="s">
        <v>411</v>
      </c>
      <c r="M1" s="3" t="s">
        <v>412</v>
      </c>
      <c r="P1" s="4" t="s">
        <v>655</v>
      </c>
      <c r="S1" s="5" t="s">
        <v>656</v>
      </c>
      <c r="V1" t="s">
        <v>721</v>
      </c>
    </row>
    <row r="2" spans="1:22" x14ac:dyDescent="0.45">
      <c r="A2" t="s">
        <v>0</v>
      </c>
      <c r="D2" t="s">
        <v>0</v>
      </c>
      <c r="G2" t="s">
        <v>0</v>
      </c>
      <c r="J2" t="s">
        <v>0</v>
      </c>
      <c r="M2" t="s">
        <v>0</v>
      </c>
      <c r="P2" t="s">
        <v>0</v>
      </c>
      <c r="S2" t="s">
        <v>0</v>
      </c>
      <c r="V2" t="s">
        <v>0</v>
      </c>
    </row>
    <row r="3" spans="1:22" x14ac:dyDescent="0.45">
      <c r="A3" t="s">
        <v>1</v>
      </c>
      <c r="D3" t="s">
        <v>1</v>
      </c>
      <c r="G3" t="s">
        <v>1</v>
      </c>
      <c r="J3" t="s">
        <v>1</v>
      </c>
      <c r="M3" t="s">
        <v>1</v>
      </c>
      <c r="P3" t="s">
        <v>1</v>
      </c>
      <c r="S3" t="s">
        <v>1</v>
      </c>
      <c r="V3" t="s">
        <v>1</v>
      </c>
    </row>
    <row r="4" spans="1:22" x14ac:dyDescent="0.45">
      <c r="A4" t="s">
        <v>2</v>
      </c>
      <c r="D4" t="s">
        <v>175</v>
      </c>
      <c r="G4" t="s">
        <v>2</v>
      </c>
      <c r="J4" t="s">
        <v>2</v>
      </c>
      <c r="M4" t="s">
        <v>2</v>
      </c>
      <c r="P4" t="s">
        <v>2</v>
      </c>
      <c r="S4" t="s">
        <v>657</v>
      </c>
      <c r="V4" t="s">
        <v>657</v>
      </c>
    </row>
    <row r="5" spans="1:22" x14ac:dyDescent="0.45">
      <c r="A5" t="s">
        <v>3</v>
      </c>
      <c r="D5" t="s">
        <v>176</v>
      </c>
      <c r="G5" t="s">
        <v>176</v>
      </c>
      <c r="J5" t="s">
        <v>331</v>
      </c>
      <c r="M5" t="s">
        <v>176</v>
      </c>
      <c r="P5" t="s">
        <v>598</v>
      </c>
      <c r="S5" t="s">
        <v>658</v>
      </c>
      <c r="V5" t="s">
        <v>722</v>
      </c>
    </row>
    <row r="6" spans="1:22" x14ac:dyDescent="0.45">
      <c r="A6" t="s">
        <v>4</v>
      </c>
      <c r="D6" t="s">
        <v>177</v>
      </c>
      <c r="G6" t="s">
        <v>332</v>
      </c>
      <c r="J6" t="s">
        <v>332</v>
      </c>
      <c r="M6" t="s">
        <v>413</v>
      </c>
      <c r="P6" t="s">
        <v>332</v>
      </c>
      <c r="S6" t="s">
        <v>659</v>
      </c>
      <c r="V6" t="s">
        <v>332</v>
      </c>
    </row>
    <row r="7" spans="1:22" x14ac:dyDescent="0.45">
      <c r="A7" t="s">
        <v>5</v>
      </c>
      <c r="D7" t="s">
        <v>178</v>
      </c>
      <c r="G7" t="s">
        <v>178</v>
      </c>
      <c r="J7" t="s">
        <v>5</v>
      </c>
      <c r="M7" t="s">
        <v>414</v>
      </c>
      <c r="P7" t="s">
        <v>414</v>
      </c>
      <c r="S7" t="s">
        <v>7</v>
      </c>
      <c r="V7" t="s">
        <v>5</v>
      </c>
    </row>
    <row r="8" spans="1:22" x14ac:dyDescent="0.45">
      <c r="A8" t="s">
        <v>6</v>
      </c>
      <c r="D8" t="s">
        <v>6</v>
      </c>
      <c r="G8" t="s">
        <v>535</v>
      </c>
      <c r="J8" t="s">
        <v>333</v>
      </c>
      <c r="M8" t="s">
        <v>415</v>
      </c>
      <c r="P8" t="s">
        <v>599</v>
      </c>
      <c r="S8" t="s">
        <v>8</v>
      </c>
      <c r="V8" t="s">
        <v>333</v>
      </c>
    </row>
    <row r="9" spans="1:22" x14ac:dyDescent="0.45">
      <c r="A9" t="s">
        <v>7</v>
      </c>
      <c r="D9" t="s">
        <v>179</v>
      </c>
      <c r="G9" t="s">
        <v>7</v>
      </c>
      <c r="J9" t="s">
        <v>334</v>
      </c>
      <c r="M9" t="s">
        <v>416</v>
      </c>
      <c r="P9" t="s">
        <v>600</v>
      </c>
      <c r="S9" t="s">
        <v>333</v>
      </c>
      <c r="V9" t="s">
        <v>334</v>
      </c>
    </row>
    <row r="10" spans="1:22" x14ac:dyDescent="0.45">
      <c r="A10" t="s">
        <v>8</v>
      </c>
      <c r="D10" t="s">
        <v>180</v>
      </c>
      <c r="G10" t="s">
        <v>536</v>
      </c>
      <c r="J10" t="s">
        <v>335</v>
      </c>
      <c r="M10" t="s">
        <v>180</v>
      </c>
      <c r="P10" t="s">
        <v>180</v>
      </c>
      <c r="S10" t="s">
        <v>660</v>
      </c>
      <c r="V10" t="s">
        <v>335</v>
      </c>
    </row>
    <row r="11" spans="1:22" x14ac:dyDescent="0.45">
      <c r="A11" t="s">
        <v>9</v>
      </c>
      <c r="D11" t="s">
        <v>181</v>
      </c>
      <c r="G11" t="s">
        <v>9</v>
      </c>
      <c r="J11" t="s">
        <v>181</v>
      </c>
      <c r="M11" t="s">
        <v>9</v>
      </c>
      <c r="P11" t="s">
        <v>601</v>
      </c>
      <c r="S11" t="s">
        <v>661</v>
      </c>
      <c r="V11" t="s">
        <v>723</v>
      </c>
    </row>
    <row r="12" spans="1:22" x14ac:dyDescent="0.45">
      <c r="A12" t="s">
        <v>10</v>
      </c>
      <c r="D12" t="s">
        <v>182</v>
      </c>
      <c r="G12" t="s">
        <v>537</v>
      </c>
      <c r="J12" t="s">
        <v>336</v>
      </c>
      <c r="M12" t="s">
        <v>417</v>
      </c>
      <c r="P12" t="s">
        <v>537</v>
      </c>
      <c r="S12" t="s">
        <v>5</v>
      </c>
      <c r="V12" t="s">
        <v>724</v>
      </c>
    </row>
    <row r="13" spans="1:22" x14ac:dyDescent="0.45">
      <c r="A13" t="s">
        <v>11</v>
      </c>
      <c r="D13" t="s">
        <v>183</v>
      </c>
      <c r="G13" t="s">
        <v>11</v>
      </c>
      <c r="J13" t="s">
        <v>11</v>
      </c>
      <c r="M13" t="s">
        <v>11</v>
      </c>
      <c r="P13" t="s">
        <v>11</v>
      </c>
      <c r="S13" t="s">
        <v>662</v>
      </c>
      <c r="V13" t="s">
        <v>662</v>
      </c>
    </row>
    <row r="14" spans="1:22" x14ac:dyDescent="0.45">
      <c r="A14" t="s">
        <v>12</v>
      </c>
      <c r="D14" t="s">
        <v>184</v>
      </c>
      <c r="G14" t="s">
        <v>337</v>
      </c>
      <c r="J14" t="s">
        <v>337</v>
      </c>
      <c r="M14" t="s">
        <v>184</v>
      </c>
      <c r="P14" t="s">
        <v>602</v>
      </c>
      <c r="S14" t="s">
        <v>663</v>
      </c>
      <c r="V14" t="s">
        <v>337</v>
      </c>
    </row>
    <row r="15" spans="1:22" x14ac:dyDescent="0.45">
      <c r="A15" t="s">
        <v>13</v>
      </c>
      <c r="D15" t="s">
        <v>185</v>
      </c>
      <c r="G15" t="s">
        <v>538</v>
      </c>
      <c r="J15" t="s">
        <v>338</v>
      </c>
      <c r="M15" t="s">
        <v>418</v>
      </c>
      <c r="P15" t="s">
        <v>603</v>
      </c>
      <c r="S15" t="s">
        <v>340</v>
      </c>
      <c r="V15" t="s">
        <v>185</v>
      </c>
    </row>
    <row r="16" spans="1:22" x14ac:dyDescent="0.45">
      <c r="A16" t="s">
        <v>14</v>
      </c>
      <c r="D16" t="s">
        <v>186</v>
      </c>
      <c r="G16" t="s">
        <v>186</v>
      </c>
      <c r="J16" t="s">
        <v>14</v>
      </c>
      <c r="M16" t="s">
        <v>14</v>
      </c>
      <c r="P16" t="s">
        <v>604</v>
      </c>
      <c r="S16" t="s">
        <v>542</v>
      </c>
      <c r="V16" t="s">
        <v>14</v>
      </c>
    </row>
    <row r="17" spans="1:22" x14ac:dyDescent="0.45">
      <c r="A17" t="s">
        <v>15</v>
      </c>
      <c r="D17" t="s">
        <v>187</v>
      </c>
      <c r="G17" t="s">
        <v>15</v>
      </c>
      <c r="J17" t="s">
        <v>339</v>
      </c>
      <c r="M17" t="s">
        <v>419</v>
      </c>
      <c r="P17" t="s">
        <v>605</v>
      </c>
      <c r="S17" t="s">
        <v>664</v>
      </c>
      <c r="V17" t="s">
        <v>605</v>
      </c>
    </row>
    <row r="18" spans="1:22" x14ac:dyDescent="0.45">
      <c r="A18" t="s">
        <v>16</v>
      </c>
      <c r="D18" t="s">
        <v>188</v>
      </c>
      <c r="G18" t="s">
        <v>539</v>
      </c>
      <c r="J18" t="s">
        <v>340</v>
      </c>
      <c r="M18" t="s">
        <v>188</v>
      </c>
      <c r="P18" t="s">
        <v>16</v>
      </c>
      <c r="S18" t="s">
        <v>665</v>
      </c>
      <c r="V18" t="s">
        <v>16</v>
      </c>
    </row>
    <row r="19" spans="1:22" x14ac:dyDescent="0.45">
      <c r="A19" t="s">
        <v>17</v>
      </c>
      <c r="D19" t="s">
        <v>189</v>
      </c>
      <c r="G19" t="s">
        <v>540</v>
      </c>
      <c r="J19" t="s">
        <v>341</v>
      </c>
      <c r="M19" t="s">
        <v>189</v>
      </c>
      <c r="P19" t="s">
        <v>606</v>
      </c>
      <c r="S19" t="s">
        <v>666</v>
      </c>
      <c r="V19" t="s">
        <v>189</v>
      </c>
    </row>
    <row r="20" spans="1:22" x14ac:dyDescent="0.45">
      <c r="A20" t="s">
        <v>18</v>
      </c>
      <c r="D20" t="s">
        <v>190</v>
      </c>
      <c r="G20" t="s">
        <v>190</v>
      </c>
      <c r="J20" t="s">
        <v>342</v>
      </c>
      <c r="M20" t="s">
        <v>342</v>
      </c>
      <c r="P20" t="s">
        <v>607</v>
      </c>
      <c r="S20" t="s">
        <v>667</v>
      </c>
      <c r="V20" t="s">
        <v>666</v>
      </c>
    </row>
    <row r="21" spans="1:22" x14ac:dyDescent="0.45">
      <c r="A21" t="s">
        <v>19</v>
      </c>
      <c r="D21" t="s">
        <v>191</v>
      </c>
      <c r="G21" t="s">
        <v>541</v>
      </c>
      <c r="J21" t="s">
        <v>343</v>
      </c>
      <c r="M21" t="s">
        <v>420</v>
      </c>
      <c r="P21" t="s">
        <v>608</v>
      </c>
      <c r="S21" t="s">
        <v>668</v>
      </c>
      <c r="V21" t="s">
        <v>663</v>
      </c>
    </row>
    <row r="22" spans="1:22" x14ac:dyDescent="0.45">
      <c r="A22" t="s">
        <v>20</v>
      </c>
      <c r="D22" t="s">
        <v>192</v>
      </c>
      <c r="G22" t="s">
        <v>542</v>
      </c>
      <c r="J22" t="s">
        <v>344</v>
      </c>
      <c r="M22" t="s">
        <v>344</v>
      </c>
      <c r="P22" t="s">
        <v>192</v>
      </c>
      <c r="S22" t="s">
        <v>604</v>
      </c>
      <c r="V22" t="s">
        <v>725</v>
      </c>
    </row>
    <row r="23" spans="1:22" x14ac:dyDescent="0.45">
      <c r="A23" t="s">
        <v>21</v>
      </c>
      <c r="D23" t="s">
        <v>193</v>
      </c>
      <c r="G23" t="s">
        <v>21</v>
      </c>
      <c r="J23" t="s">
        <v>21</v>
      </c>
      <c r="M23" t="s">
        <v>21</v>
      </c>
      <c r="P23" t="s">
        <v>21</v>
      </c>
      <c r="S23" t="s">
        <v>669</v>
      </c>
      <c r="V23" t="s">
        <v>669</v>
      </c>
    </row>
    <row r="24" spans="1:22" x14ac:dyDescent="0.45">
      <c r="A24" t="s">
        <v>22</v>
      </c>
      <c r="D24" t="s">
        <v>194</v>
      </c>
      <c r="G24" t="s">
        <v>543</v>
      </c>
      <c r="J24" t="s">
        <v>22</v>
      </c>
      <c r="M24" t="s">
        <v>421</v>
      </c>
      <c r="P24" t="s">
        <v>609</v>
      </c>
      <c r="S24" t="s">
        <v>670</v>
      </c>
      <c r="V24" t="s">
        <v>726</v>
      </c>
    </row>
    <row r="25" spans="1:22" x14ac:dyDescent="0.45">
      <c r="A25" t="s">
        <v>23</v>
      </c>
      <c r="D25" t="s">
        <v>195</v>
      </c>
      <c r="G25" t="s">
        <v>544</v>
      </c>
      <c r="J25" t="s">
        <v>345</v>
      </c>
      <c r="M25" t="s">
        <v>422</v>
      </c>
      <c r="P25" t="s">
        <v>195</v>
      </c>
      <c r="S25" t="s">
        <v>610</v>
      </c>
      <c r="V25" t="s">
        <v>23</v>
      </c>
    </row>
    <row r="26" spans="1:22" x14ac:dyDescent="0.45">
      <c r="A26" t="s">
        <v>24</v>
      </c>
      <c r="D26" t="s">
        <v>196</v>
      </c>
      <c r="G26" t="s">
        <v>24</v>
      </c>
      <c r="J26" t="s">
        <v>24</v>
      </c>
      <c r="M26" t="s">
        <v>423</v>
      </c>
      <c r="P26" t="s">
        <v>610</v>
      </c>
      <c r="S26" t="s">
        <v>25</v>
      </c>
      <c r="V26" t="s">
        <v>24</v>
      </c>
    </row>
    <row r="27" spans="1:22" x14ac:dyDescent="0.45">
      <c r="A27" t="s">
        <v>25</v>
      </c>
      <c r="D27" t="s">
        <v>197</v>
      </c>
      <c r="G27" t="s">
        <v>545</v>
      </c>
      <c r="J27" t="s">
        <v>197</v>
      </c>
      <c r="M27" t="s">
        <v>25</v>
      </c>
      <c r="P27" t="s">
        <v>611</v>
      </c>
      <c r="S27" t="s">
        <v>22</v>
      </c>
      <c r="V27" t="s">
        <v>197</v>
      </c>
    </row>
    <row r="28" spans="1:22" x14ac:dyDescent="0.45">
      <c r="A28" t="s">
        <v>26</v>
      </c>
      <c r="D28" t="s">
        <v>198</v>
      </c>
      <c r="G28" t="s">
        <v>546</v>
      </c>
      <c r="J28" t="s">
        <v>346</v>
      </c>
      <c r="M28" t="s">
        <v>346</v>
      </c>
      <c r="P28" t="s">
        <v>612</v>
      </c>
      <c r="S28" t="s">
        <v>671</v>
      </c>
      <c r="V28" t="s">
        <v>671</v>
      </c>
    </row>
    <row r="29" spans="1:22" x14ac:dyDescent="0.45">
      <c r="A29" t="s">
        <v>27</v>
      </c>
      <c r="D29" t="s">
        <v>199</v>
      </c>
      <c r="G29" t="s">
        <v>27</v>
      </c>
      <c r="J29" t="s">
        <v>347</v>
      </c>
      <c r="M29" t="s">
        <v>424</v>
      </c>
      <c r="P29" t="s">
        <v>347</v>
      </c>
      <c r="S29" t="s">
        <v>672</v>
      </c>
      <c r="V29" t="s">
        <v>27</v>
      </c>
    </row>
    <row r="30" spans="1:22" x14ac:dyDescent="0.45">
      <c r="A30" t="s">
        <v>28</v>
      </c>
      <c r="D30" t="s">
        <v>200</v>
      </c>
      <c r="G30" t="s">
        <v>28</v>
      </c>
      <c r="J30" t="s">
        <v>28</v>
      </c>
      <c r="M30" t="s">
        <v>28</v>
      </c>
      <c r="P30" t="s">
        <v>28</v>
      </c>
      <c r="S30" t="s">
        <v>673</v>
      </c>
      <c r="V30" t="s">
        <v>673</v>
      </c>
    </row>
    <row r="31" spans="1:22" x14ac:dyDescent="0.45">
      <c r="A31" t="s">
        <v>29</v>
      </c>
      <c r="D31" t="s">
        <v>201</v>
      </c>
      <c r="G31" t="s">
        <v>547</v>
      </c>
      <c r="J31" t="s">
        <v>29</v>
      </c>
      <c r="M31" t="s">
        <v>425</v>
      </c>
      <c r="P31" t="s">
        <v>201</v>
      </c>
      <c r="S31" t="s">
        <v>674</v>
      </c>
      <c r="V31" t="s">
        <v>29</v>
      </c>
    </row>
    <row r="32" spans="1:22" x14ac:dyDescent="0.45">
      <c r="A32" t="s">
        <v>30</v>
      </c>
      <c r="D32" t="s">
        <v>202</v>
      </c>
      <c r="G32" t="s">
        <v>30</v>
      </c>
      <c r="J32" t="s">
        <v>348</v>
      </c>
      <c r="M32" t="s">
        <v>426</v>
      </c>
      <c r="P32" t="s">
        <v>202</v>
      </c>
      <c r="S32" t="s">
        <v>675</v>
      </c>
      <c r="V32" t="s">
        <v>348</v>
      </c>
    </row>
    <row r="33" spans="1:22" x14ac:dyDescent="0.45">
      <c r="A33" t="s">
        <v>31</v>
      </c>
      <c r="D33" t="s">
        <v>203</v>
      </c>
      <c r="G33" t="s">
        <v>31</v>
      </c>
      <c r="J33" t="s">
        <v>349</v>
      </c>
      <c r="M33" t="s">
        <v>427</v>
      </c>
      <c r="P33" t="s">
        <v>613</v>
      </c>
      <c r="S33" t="s">
        <v>32</v>
      </c>
      <c r="V33" t="s">
        <v>727</v>
      </c>
    </row>
    <row r="34" spans="1:22" x14ac:dyDescent="0.45">
      <c r="A34" t="s">
        <v>32</v>
      </c>
      <c r="D34" t="s">
        <v>204</v>
      </c>
      <c r="G34" t="s">
        <v>32</v>
      </c>
      <c r="J34" t="s">
        <v>32</v>
      </c>
      <c r="M34" t="s">
        <v>428</v>
      </c>
      <c r="P34" t="s">
        <v>614</v>
      </c>
      <c r="S34" t="s">
        <v>676</v>
      </c>
      <c r="V34" t="s">
        <v>32</v>
      </c>
    </row>
    <row r="35" spans="1:22" x14ac:dyDescent="0.45">
      <c r="A35" t="s">
        <v>33</v>
      </c>
      <c r="D35" t="s">
        <v>205</v>
      </c>
      <c r="G35" t="s">
        <v>548</v>
      </c>
      <c r="J35" t="s">
        <v>33</v>
      </c>
      <c r="M35" t="s">
        <v>429</v>
      </c>
      <c r="P35" t="s">
        <v>33</v>
      </c>
      <c r="S35" t="s">
        <v>548</v>
      </c>
      <c r="V35" t="s">
        <v>548</v>
      </c>
    </row>
    <row r="36" spans="1:22" x14ac:dyDescent="0.45">
      <c r="A36" t="s">
        <v>34</v>
      </c>
      <c r="D36" t="s">
        <v>206</v>
      </c>
      <c r="G36" t="s">
        <v>549</v>
      </c>
      <c r="J36" t="s">
        <v>350</v>
      </c>
      <c r="M36" t="s">
        <v>430</v>
      </c>
      <c r="P36" t="s">
        <v>430</v>
      </c>
      <c r="S36" t="s">
        <v>677</v>
      </c>
      <c r="V36" t="s">
        <v>34</v>
      </c>
    </row>
    <row r="37" spans="1:22" x14ac:dyDescent="0.45">
      <c r="A37" t="s">
        <v>35</v>
      </c>
      <c r="D37" t="s">
        <v>207</v>
      </c>
      <c r="G37" t="s">
        <v>550</v>
      </c>
      <c r="J37" t="s">
        <v>35</v>
      </c>
      <c r="M37" t="s">
        <v>431</v>
      </c>
      <c r="P37" t="s">
        <v>615</v>
      </c>
      <c r="S37" t="s">
        <v>678</v>
      </c>
      <c r="V37" t="s">
        <v>728</v>
      </c>
    </row>
    <row r="38" spans="1:22" x14ac:dyDescent="0.45">
      <c r="A38" t="s">
        <v>36</v>
      </c>
      <c r="D38" t="s">
        <v>208</v>
      </c>
      <c r="G38" t="s">
        <v>36</v>
      </c>
      <c r="J38" t="s">
        <v>36</v>
      </c>
      <c r="M38" t="s">
        <v>36</v>
      </c>
      <c r="P38" t="s">
        <v>36</v>
      </c>
      <c r="S38" t="s">
        <v>679</v>
      </c>
      <c r="V38" t="s">
        <v>679</v>
      </c>
    </row>
    <row r="39" spans="1:22" x14ac:dyDescent="0.45">
      <c r="A39" t="s">
        <v>37</v>
      </c>
      <c r="D39" t="s">
        <v>209</v>
      </c>
      <c r="G39" t="s">
        <v>37</v>
      </c>
      <c r="J39" t="s">
        <v>37</v>
      </c>
      <c r="M39" t="s">
        <v>209</v>
      </c>
      <c r="P39" t="s">
        <v>37</v>
      </c>
      <c r="S39" t="s">
        <v>680</v>
      </c>
      <c r="V39" t="s">
        <v>680</v>
      </c>
    </row>
    <row r="40" spans="1:22" x14ac:dyDescent="0.45">
      <c r="A40" t="s">
        <v>38</v>
      </c>
      <c r="D40" t="s">
        <v>210</v>
      </c>
      <c r="G40" t="s">
        <v>38</v>
      </c>
      <c r="J40" t="s">
        <v>351</v>
      </c>
      <c r="M40" t="s">
        <v>432</v>
      </c>
      <c r="P40" t="s">
        <v>616</v>
      </c>
      <c r="S40" t="s">
        <v>351</v>
      </c>
      <c r="V40" t="s">
        <v>351</v>
      </c>
    </row>
    <row r="41" spans="1:22" x14ac:dyDescent="0.45">
      <c r="A41" t="s">
        <v>39</v>
      </c>
      <c r="D41" t="s">
        <v>39</v>
      </c>
      <c r="G41" t="s">
        <v>39</v>
      </c>
      <c r="J41" t="s">
        <v>352</v>
      </c>
      <c r="M41" t="s">
        <v>433</v>
      </c>
      <c r="P41" t="s">
        <v>617</v>
      </c>
      <c r="S41" t="s">
        <v>39</v>
      </c>
      <c r="V41" t="s">
        <v>39</v>
      </c>
    </row>
    <row r="42" spans="1:22" x14ac:dyDescent="0.45">
      <c r="A42" t="s">
        <v>40</v>
      </c>
      <c r="D42" t="s">
        <v>211</v>
      </c>
      <c r="G42" t="s">
        <v>40</v>
      </c>
      <c r="J42" t="s">
        <v>40</v>
      </c>
      <c r="M42" t="s">
        <v>40</v>
      </c>
      <c r="P42" t="s">
        <v>40</v>
      </c>
      <c r="S42" t="s">
        <v>681</v>
      </c>
      <c r="V42" t="s">
        <v>681</v>
      </c>
    </row>
    <row r="43" spans="1:22" x14ac:dyDescent="0.45">
      <c r="A43" t="s">
        <v>41</v>
      </c>
      <c r="D43" t="s">
        <v>212</v>
      </c>
      <c r="G43" t="s">
        <v>41</v>
      </c>
      <c r="J43" t="s">
        <v>41</v>
      </c>
      <c r="M43" t="s">
        <v>41</v>
      </c>
      <c r="P43" t="s">
        <v>41</v>
      </c>
      <c r="S43" t="s">
        <v>41</v>
      </c>
      <c r="V43" t="s">
        <v>41</v>
      </c>
    </row>
    <row r="44" spans="1:22" x14ac:dyDescent="0.45">
      <c r="A44" t="s">
        <v>42</v>
      </c>
      <c r="D44" t="s">
        <v>213</v>
      </c>
      <c r="G44" t="s">
        <v>42</v>
      </c>
      <c r="J44" t="s">
        <v>213</v>
      </c>
      <c r="M44" t="s">
        <v>42</v>
      </c>
      <c r="P44" t="s">
        <v>42</v>
      </c>
      <c r="S44" t="s">
        <v>682</v>
      </c>
      <c r="V44" t="s">
        <v>42</v>
      </c>
    </row>
    <row r="45" spans="1:22" x14ac:dyDescent="0.45">
      <c r="A45" t="s">
        <v>43</v>
      </c>
      <c r="D45" t="s">
        <v>214</v>
      </c>
      <c r="G45" t="s">
        <v>551</v>
      </c>
      <c r="J45" t="s">
        <v>353</v>
      </c>
      <c r="M45" t="s">
        <v>434</v>
      </c>
      <c r="P45" t="s">
        <v>214</v>
      </c>
      <c r="S45" t="s">
        <v>683</v>
      </c>
      <c r="V45" t="s">
        <v>353</v>
      </c>
    </row>
    <row r="46" spans="1:22" x14ac:dyDescent="0.45">
      <c r="A46" t="s">
        <v>44</v>
      </c>
      <c r="D46" t="s">
        <v>215</v>
      </c>
      <c r="G46" t="s">
        <v>44</v>
      </c>
      <c r="J46" t="s">
        <v>354</v>
      </c>
      <c r="M46" t="s">
        <v>435</v>
      </c>
      <c r="P46" t="s">
        <v>44</v>
      </c>
      <c r="S46" t="s">
        <v>438</v>
      </c>
      <c r="V46" t="s">
        <v>354</v>
      </c>
    </row>
    <row r="47" spans="1:22" x14ac:dyDescent="0.45">
      <c r="A47" t="s">
        <v>45</v>
      </c>
      <c r="D47" t="s">
        <v>51</v>
      </c>
      <c r="G47" t="s">
        <v>358</v>
      </c>
      <c r="J47" t="s">
        <v>51</v>
      </c>
      <c r="M47" t="s">
        <v>358</v>
      </c>
      <c r="P47" t="s">
        <v>618</v>
      </c>
      <c r="S47" t="s">
        <v>684</v>
      </c>
      <c r="V47" t="s">
        <v>358</v>
      </c>
    </row>
    <row r="48" spans="1:22" x14ac:dyDescent="0.45">
      <c r="A48" t="s">
        <v>46</v>
      </c>
      <c r="D48" t="s">
        <v>46</v>
      </c>
      <c r="G48" t="s">
        <v>46</v>
      </c>
      <c r="J48" t="s">
        <v>355</v>
      </c>
      <c r="M48" t="s">
        <v>436</v>
      </c>
      <c r="P48" t="s">
        <v>46</v>
      </c>
      <c r="S48" t="s">
        <v>46</v>
      </c>
      <c r="V48" t="s">
        <v>355</v>
      </c>
    </row>
    <row r="49" spans="1:22" x14ac:dyDescent="0.45">
      <c r="A49" t="s">
        <v>47</v>
      </c>
      <c r="D49" t="s">
        <v>216</v>
      </c>
      <c r="G49" t="s">
        <v>47</v>
      </c>
      <c r="J49" t="s">
        <v>47</v>
      </c>
      <c r="M49" t="s">
        <v>47</v>
      </c>
      <c r="P49" t="s">
        <v>47</v>
      </c>
      <c r="S49" t="s">
        <v>47</v>
      </c>
      <c r="V49" t="s">
        <v>47</v>
      </c>
    </row>
    <row r="50" spans="1:22" x14ac:dyDescent="0.45">
      <c r="A50" t="s">
        <v>48</v>
      </c>
      <c r="D50" t="s">
        <v>217</v>
      </c>
      <c r="G50" t="s">
        <v>552</v>
      </c>
      <c r="J50" t="s">
        <v>48</v>
      </c>
      <c r="M50" t="s">
        <v>213</v>
      </c>
      <c r="P50" t="s">
        <v>213</v>
      </c>
      <c r="S50" t="s">
        <v>552</v>
      </c>
      <c r="V50" t="s">
        <v>48</v>
      </c>
    </row>
    <row r="51" spans="1:22" x14ac:dyDescent="0.45">
      <c r="A51" t="s">
        <v>49</v>
      </c>
      <c r="D51" t="s">
        <v>218</v>
      </c>
      <c r="G51" t="s">
        <v>218</v>
      </c>
      <c r="J51" t="s">
        <v>49</v>
      </c>
      <c r="M51" t="s">
        <v>437</v>
      </c>
      <c r="P51" t="s">
        <v>353</v>
      </c>
      <c r="S51" t="s">
        <v>437</v>
      </c>
      <c r="V51" t="s">
        <v>729</v>
      </c>
    </row>
    <row r="52" spans="1:22" x14ac:dyDescent="0.45">
      <c r="A52" t="s">
        <v>50</v>
      </c>
      <c r="D52" t="s">
        <v>219</v>
      </c>
      <c r="G52" t="s">
        <v>219</v>
      </c>
      <c r="J52" t="s">
        <v>44</v>
      </c>
      <c r="M52" t="s">
        <v>438</v>
      </c>
      <c r="P52" t="s">
        <v>44</v>
      </c>
      <c r="S52" t="s">
        <v>219</v>
      </c>
      <c r="V52" t="s">
        <v>44</v>
      </c>
    </row>
    <row r="53" spans="1:22" x14ac:dyDescent="0.45">
      <c r="A53" t="s">
        <v>51</v>
      </c>
      <c r="D53" t="s">
        <v>220</v>
      </c>
      <c r="G53" t="s">
        <v>553</v>
      </c>
      <c r="J53" t="s">
        <v>356</v>
      </c>
      <c r="M53" t="s">
        <v>439</v>
      </c>
      <c r="P53" t="s">
        <v>439</v>
      </c>
      <c r="S53" t="s">
        <v>685</v>
      </c>
      <c r="V53" t="s">
        <v>356</v>
      </c>
    </row>
    <row r="54" spans="1:22" x14ac:dyDescent="0.45">
      <c r="A54" t="s">
        <v>52</v>
      </c>
      <c r="D54" t="s">
        <v>221</v>
      </c>
      <c r="G54" t="s">
        <v>554</v>
      </c>
      <c r="J54" t="s">
        <v>52</v>
      </c>
      <c r="M54" t="s">
        <v>355</v>
      </c>
      <c r="P54" t="s">
        <v>221</v>
      </c>
      <c r="S54" t="s">
        <v>554</v>
      </c>
      <c r="V54" t="s">
        <v>730</v>
      </c>
    </row>
    <row r="55" spans="1:22" x14ac:dyDescent="0.45">
      <c r="A55" t="s">
        <v>53</v>
      </c>
      <c r="D55" t="s">
        <v>222</v>
      </c>
      <c r="G55" t="s">
        <v>53</v>
      </c>
      <c r="J55" t="s">
        <v>53</v>
      </c>
      <c r="M55" t="s">
        <v>53</v>
      </c>
      <c r="P55" t="s">
        <v>53</v>
      </c>
      <c r="S55" t="s">
        <v>53</v>
      </c>
      <c r="V55" t="s">
        <v>53</v>
      </c>
    </row>
    <row r="56" spans="1:22" x14ac:dyDescent="0.45">
      <c r="A56" t="s">
        <v>54</v>
      </c>
      <c r="D56" t="s">
        <v>223</v>
      </c>
      <c r="G56" t="s">
        <v>440</v>
      </c>
      <c r="J56" t="s">
        <v>357</v>
      </c>
      <c r="M56" t="s">
        <v>440</v>
      </c>
      <c r="P56" t="s">
        <v>440</v>
      </c>
      <c r="S56" t="s">
        <v>357</v>
      </c>
      <c r="V56" t="s">
        <v>54</v>
      </c>
    </row>
    <row r="57" spans="1:22" x14ac:dyDescent="0.45">
      <c r="A57" t="s">
        <v>55</v>
      </c>
      <c r="D57" t="s">
        <v>224</v>
      </c>
      <c r="G57" t="s">
        <v>43</v>
      </c>
      <c r="J57" t="s">
        <v>214</v>
      </c>
      <c r="M57" t="s">
        <v>441</v>
      </c>
      <c r="P57" t="s">
        <v>434</v>
      </c>
      <c r="S57" t="s">
        <v>43</v>
      </c>
      <c r="V57" t="s">
        <v>214</v>
      </c>
    </row>
    <row r="58" spans="1:22" x14ac:dyDescent="0.45">
      <c r="A58" t="s">
        <v>56</v>
      </c>
      <c r="D58" t="s">
        <v>225</v>
      </c>
      <c r="G58" t="s">
        <v>555</v>
      </c>
      <c r="J58" t="s">
        <v>44</v>
      </c>
      <c r="M58" t="s">
        <v>442</v>
      </c>
      <c r="P58" t="s">
        <v>442</v>
      </c>
      <c r="S58" t="s">
        <v>442</v>
      </c>
      <c r="V58" t="s">
        <v>442</v>
      </c>
    </row>
    <row r="59" spans="1:22" x14ac:dyDescent="0.45">
      <c r="A59" t="s">
        <v>57</v>
      </c>
      <c r="D59" t="s">
        <v>226</v>
      </c>
      <c r="G59" t="s">
        <v>556</v>
      </c>
      <c r="J59" t="s">
        <v>358</v>
      </c>
      <c r="M59" t="s">
        <v>45</v>
      </c>
      <c r="P59" t="s">
        <v>556</v>
      </c>
      <c r="S59" t="s">
        <v>226</v>
      </c>
      <c r="V59" t="s">
        <v>358</v>
      </c>
    </row>
    <row r="60" spans="1:22" x14ac:dyDescent="0.45">
      <c r="A60" t="s">
        <v>58</v>
      </c>
      <c r="D60" t="s">
        <v>227</v>
      </c>
      <c r="G60" t="s">
        <v>436</v>
      </c>
      <c r="J60" t="s">
        <v>58</v>
      </c>
      <c r="M60" t="s">
        <v>58</v>
      </c>
      <c r="P60" t="s">
        <v>227</v>
      </c>
      <c r="S60" t="s">
        <v>436</v>
      </c>
      <c r="V60" t="s">
        <v>58</v>
      </c>
    </row>
    <row r="61" spans="1:22" x14ac:dyDescent="0.45">
      <c r="A61" t="s">
        <v>59</v>
      </c>
      <c r="D61" t="s">
        <v>228</v>
      </c>
      <c r="G61" t="s">
        <v>59</v>
      </c>
      <c r="J61" t="s">
        <v>59</v>
      </c>
      <c r="M61" t="s">
        <v>59</v>
      </c>
      <c r="P61" t="s">
        <v>619</v>
      </c>
      <c r="S61" t="s">
        <v>686</v>
      </c>
      <c r="V61" t="s">
        <v>731</v>
      </c>
    </row>
    <row r="62" spans="1:22" x14ac:dyDescent="0.45">
      <c r="A62" t="s">
        <v>41</v>
      </c>
      <c r="D62" t="s">
        <v>212</v>
      </c>
      <c r="G62" t="s">
        <v>41</v>
      </c>
      <c r="J62" t="s">
        <v>41</v>
      </c>
      <c r="M62" t="s">
        <v>41</v>
      </c>
      <c r="P62" t="s">
        <v>41</v>
      </c>
      <c r="S62" t="s">
        <v>41</v>
      </c>
      <c r="V62" t="s">
        <v>41</v>
      </c>
    </row>
    <row r="63" spans="1:22" x14ac:dyDescent="0.45">
      <c r="A63" t="s">
        <v>60</v>
      </c>
      <c r="D63" t="s">
        <v>229</v>
      </c>
      <c r="G63" t="s">
        <v>66</v>
      </c>
      <c r="J63" t="s">
        <v>71</v>
      </c>
      <c r="M63" t="s">
        <v>443</v>
      </c>
      <c r="P63" t="s">
        <v>60</v>
      </c>
      <c r="S63" t="s">
        <v>66</v>
      </c>
      <c r="V63" t="s">
        <v>71</v>
      </c>
    </row>
    <row r="64" spans="1:22" x14ac:dyDescent="0.45">
      <c r="A64" t="s">
        <v>61</v>
      </c>
      <c r="D64" t="s">
        <v>230</v>
      </c>
      <c r="G64" t="s">
        <v>359</v>
      </c>
      <c r="J64" t="s">
        <v>72</v>
      </c>
      <c r="M64" t="s">
        <v>444</v>
      </c>
      <c r="P64" t="s">
        <v>359</v>
      </c>
      <c r="S64" t="s">
        <v>61</v>
      </c>
      <c r="V64" t="s">
        <v>557</v>
      </c>
    </row>
    <row r="65" spans="1:22" x14ac:dyDescent="0.45">
      <c r="A65" t="s">
        <v>62</v>
      </c>
      <c r="D65" t="s">
        <v>62</v>
      </c>
      <c r="G65" t="s">
        <v>73</v>
      </c>
      <c r="J65" t="s">
        <v>62</v>
      </c>
      <c r="M65" t="s">
        <v>445</v>
      </c>
      <c r="P65" t="s">
        <v>62</v>
      </c>
      <c r="S65" t="s">
        <v>62</v>
      </c>
      <c r="V65" t="s">
        <v>360</v>
      </c>
    </row>
    <row r="66" spans="1:22" x14ac:dyDescent="0.45">
      <c r="A66" t="s">
        <v>63</v>
      </c>
      <c r="D66" t="s">
        <v>231</v>
      </c>
      <c r="G66" t="s">
        <v>63</v>
      </c>
      <c r="J66" t="s">
        <v>63</v>
      </c>
      <c r="M66" t="s">
        <v>446</v>
      </c>
      <c r="P66" t="s">
        <v>231</v>
      </c>
      <c r="S66" t="s">
        <v>231</v>
      </c>
      <c r="V66" t="s">
        <v>63</v>
      </c>
    </row>
    <row r="67" spans="1:22" x14ac:dyDescent="0.45">
      <c r="A67" t="s">
        <v>64</v>
      </c>
      <c r="D67" t="s">
        <v>232</v>
      </c>
      <c r="G67" t="s">
        <v>75</v>
      </c>
      <c r="J67" t="s">
        <v>64</v>
      </c>
      <c r="M67" t="s">
        <v>447</v>
      </c>
      <c r="P67" t="s">
        <v>363</v>
      </c>
      <c r="S67" t="s">
        <v>64</v>
      </c>
      <c r="V67" t="s">
        <v>64</v>
      </c>
    </row>
    <row r="68" spans="1:22" x14ac:dyDescent="0.45">
      <c r="A68" t="s">
        <v>65</v>
      </c>
      <c r="D68" t="s">
        <v>233</v>
      </c>
      <c r="G68" t="s">
        <v>275</v>
      </c>
      <c r="J68" t="s">
        <v>76</v>
      </c>
      <c r="M68" t="s">
        <v>76</v>
      </c>
      <c r="P68" t="s">
        <v>76</v>
      </c>
      <c r="S68" t="s">
        <v>76</v>
      </c>
      <c r="V68" t="s">
        <v>39</v>
      </c>
    </row>
    <row r="69" spans="1:22" x14ac:dyDescent="0.45">
      <c r="A69" t="s">
        <v>47</v>
      </c>
      <c r="D69" t="s">
        <v>216</v>
      </c>
      <c r="G69" t="s">
        <v>47</v>
      </c>
      <c r="J69" t="s">
        <v>47</v>
      </c>
      <c r="M69" t="s">
        <v>47</v>
      </c>
      <c r="P69" t="s">
        <v>47</v>
      </c>
      <c r="S69" t="s">
        <v>47</v>
      </c>
      <c r="V69" t="s">
        <v>47</v>
      </c>
    </row>
    <row r="70" spans="1:22" x14ac:dyDescent="0.45">
      <c r="A70" t="s">
        <v>66</v>
      </c>
      <c r="D70" t="s">
        <v>234</v>
      </c>
      <c r="G70" t="s">
        <v>239</v>
      </c>
      <c r="J70" t="s">
        <v>66</v>
      </c>
      <c r="M70" t="s">
        <v>448</v>
      </c>
      <c r="P70" t="s">
        <v>71</v>
      </c>
      <c r="S70" t="s">
        <v>60</v>
      </c>
      <c r="V70" t="s">
        <v>66</v>
      </c>
    </row>
    <row r="71" spans="1:22" x14ac:dyDescent="0.45">
      <c r="A71" t="s">
        <v>67</v>
      </c>
      <c r="D71" t="s">
        <v>235</v>
      </c>
      <c r="G71" t="s">
        <v>557</v>
      </c>
      <c r="J71" t="s">
        <v>359</v>
      </c>
      <c r="M71" t="s">
        <v>449</v>
      </c>
      <c r="P71" t="s">
        <v>557</v>
      </c>
      <c r="S71" t="s">
        <v>359</v>
      </c>
      <c r="V71" t="s">
        <v>61</v>
      </c>
    </row>
    <row r="72" spans="1:22" x14ac:dyDescent="0.45">
      <c r="A72" t="s">
        <v>68</v>
      </c>
      <c r="D72" t="s">
        <v>236</v>
      </c>
      <c r="G72" t="s">
        <v>360</v>
      </c>
      <c r="J72" t="s">
        <v>360</v>
      </c>
      <c r="M72" t="s">
        <v>450</v>
      </c>
      <c r="P72" t="s">
        <v>236</v>
      </c>
      <c r="S72" t="s">
        <v>360</v>
      </c>
      <c r="V72" t="s">
        <v>73</v>
      </c>
    </row>
    <row r="73" spans="1:22" x14ac:dyDescent="0.45">
      <c r="A73" t="s">
        <v>69</v>
      </c>
      <c r="D73" t="s">
        <v>237</v>
      </c>
      <c r="G73" t="s">
        <v>231</v>
      </c>
      <c r="J73" t="s">
        <v>74</v>
      </c>
      <c r="M73" t="s">
        <v>69</v>
      </c>
      <c r="P73" t="s">
        <v>69</v>
      </c>
      <c r="S73" t="s">
        <v>63</v>
      </c>
      <c r="V73" t="s">
        <v>74</v>
      </c>
    </row>
    <row r="74" spans="1:22" x14ac:dyDescent="0.45">
      <c r="A74" t="s">
        <v>70</v>
      </c>
      <c r="D74" t="s">
        <v>238</v>
      </c>
      <c r="G74" t="s">
        <v>232</v>
      </c>
      <c r="J74" t="s">
        <v>75</v>
      </c>
      <c r="M74" t="s">
        <v>238</v>
      </c>
      <c r="P74" t="s">
        <v>620</v>
      </c>
      <c r="S74" t="s">
        <v>70</v>
      </c>
      <c r="V74" t="s">
        <v>70</v>
      </c>
    </row>
    <row r="75" spans="1:22" x14ac:dyDescent="0.45">
      <c r="A75" t="s">
        <v>65</v>
      </c>
      <c r="D75" t="s">
        <v>76</v>
      </c>
      <c r="G75" t="s">
        <v>255</v>
      </c>
      <c r="J75" t="s">
        <v>76</v>
      </c>
      <c r="M75" t="s">
        <v>297</v>
      </c>
      <c r="P75" t="s">
        <v>297</v>
      </c>
      <c r="S75" t="s">
        <v>76</v>
      </c>
      <c r="V75" t="s">
        <v>96</v>
      </c>
    </row>
    <row r="76" spans="1:22" x14ac:dyDescent="0.45">
      <c r="A76" t="s">
        <v>53</v>
      </c>
      <c r="D76" t="s">
        <v>222</v>
      </c>
      <c r="G76" t="s">
        <v>53</v>
      </c>
      <c r="J76" t="s">
        <v>53</v>
      </c>
      <c r="M76" t="s">
        <v>53</v>
      </c>
      <c r="P76" t="s">
        <v>53</v>
      </c>
      <c r="S76" t="s">
        <v>53</v>
      </c>
      <c r="V76" t="s">
        <v>53</v>
      </c>
    </row>
    <row r="77" spans="1:22" x14ac:dyDescent="0.45">
      <c r="A77" t="s">
        <v>71</v>
      </c>
      <c r="D77" t="s">
        <v>239</v>
      </c>
      <c r="G77" t="s">
        <v>558</v>
      </c>
      <c r="J77" t="s">
        <v>60</v>
      </c>
      <c r="M77" t="s">
        <v>451</v>
      </c>
      <c r="P77" t="s">
        <v>66</v>
      </c>
      <c r="S77" t="s">
        <v>558</v>
      </c>
      <c r="V77" t="s">
        <v>239</v>
      </c>
    </row>
    <row r="78" spans="1:22" x14ac:dyDescent="0.45">
      <c r="A78" t="s">
        <v>72</v>
      </c>
      <c r="D78" t="s">
        <v>240</v>
      </c>
      <c r="G78" t="s">
        <v>361</v>
      </c>
      <c r="J78" t="s">
        <v>361</v>
      </c>
      <c r="M78" t="s">
        <v>452</v>
      </c>
      <c r="P78" t="s">
        <v>621</v>
      </c>
      <c r="S78" t="s">
        <v>361</v>
      </c>
      <c r="V78" t="s">
        <v>72</v>
      </c>
    </row>
    <row r="79" spans="1:22" x14ac:dyDescent="0.45">
      <c r="A79" t="s">
        <v>73</v>
      </c>
      <c r="D79" t="s">
        <v>241</v>
      </c>
      <c r="G79" t="s">
        <v>559</v>
      </c>
      <c r="J79" t="s">
        <v>73</v>
      </c>
      <c r="M79" t="s">
        <v>453</v>
      </c>
      <c r="P79" t="s">
        <v>450</v>
      </c>
      <c r="S79" t="s">
        <v>559</v>
      </c>
      <c r="V79" t="s">
        <v>62</v>
      </c>
    </row>
    <row r="80" spans="1:22" x14ac:dyDescent="0.45">
      <c r="A80" t="s">
        <v>74</v>
      </c>
      <c r="D80" t="s">
        <v>242</v>
      </c>
      <c r="G80" t="s">
        <v>242</v>
      </c>
      <c r="J80" t="s">
        <v>362</v>
      </c>
      <c r="M80" t="s">
        <v>231</v>
      </c>
      <c r="P80" t="s">
        <v>63</v>
      </c>
      <c r="S80" t="s">
        <v>242</v>
      </c>
      <c r="V80" t="s">
        <v>69</v>
      </c>
    </row>
    <row r="81" spans="1:22" x14ac:dyDescent="0.45">
      <c r="A81" t="s">
        <v>75</v>
      </c>
      <c r="D81" t="s">
        <v>243</v>
      </c>
      <c r="G81" t="s">
        <v>363</v>
      </c>
      <c r="J81" t="s">
        <v>363</v>
      </c>
      <c r="M81" t="s">
        <v>454</v>
      </c>
      <c r="P81" t="s">
        <v>75</v>
      </c>
      <c r="S81" t="s">
        <v>363</v>
      </c>
      <c r="V81" t="s">
        <v>75</v>
      </c>
    </row>
    <row r="82" spans="1:22" x14ac:dyDescent="0.45">
      <c r="A82" t="s">
        <v>76</v>
      </c>
      <c r="D82" t="s">
        <v>96</v>
      </c>
      <c r="G82" t="s">
        <v>560</v>
      </c>
      <c r="J82" t="s">
        <v>96</v>
      </c>
      <c r="M82" t="s">
        <v>255</v>
      </c>
      <c r="P82" t="s">
        <v>275</v>
      </c>
      <c r="S82" t="s">
        <v>96</v>
      </c>
      <c r="V82" t="s">
        <v>352</v>
      </c>
    </row>
    <row r="83" spans="1:22" x14ac:dyDescent="0.45">
      <c r="A83" t="s">
        <v>77</v>
      </c>
      <c r="D83" t="s">
        <v>244</v>
      </c>
      <c r="G83" t="s">
        <v>77</v>
      </c>
      <c r="J83" t="s">
        <v>77</v>
      </c>
      <c r="M83" t="s">
        <v>77</v>
      </c>
      <c r="P83" t="s">
        <v>622</v>
      </c>
      <c r="S83" t="s">
        <v>687</v>
      </c>
      <c r="V83" t="s">
        <v>687</v>
      </c>
    </row>
    <row r="84" spans="1:22" x14ac:dyDescent="0.45">
      <c r="A84" t="s">
        <v>41</v>
      </c>
      <c r="D84" t="s">
        <v>212</v>
      </c>
      <c r="G84" t="s">
        <v>41</v>
      </c>
      <c r="J84" t="s">
        <v>41</v>
      </c>
      <c r="M84" t="s">
        <v>41</v>
      </c>
      <c r="P84" t="s">
        <v>41</v>
      </c>
      <c r="S84" t="s">
        <v>41</v>
      </c>
      <c r="V84" t="s">
        <v>41</v>
      </c>
    </row>
    <row r="85" spans="1:22" x14ac:dyDescent="0.45">
      <c r="A85" t="s">
        <v>78</v>
      </c>
      <c r="D85" t="s">
        <v>245</v>
      </c>
      <c r="G85" t="s">
        <v>561</v>
      </c>
      <c r="J85" t="s">
        <v>364</v>
      </c>
      <c r="M85" t="s">
        <v>455</v>
      </c>
      <c r="P85" t="s">
        <v>561</v>
      </c>
      <c r="S85" t="s">
        <v>245</v>
      </c>
      <c r="V85" t="s">
        <v>78</v>
      </c>
    </row>
    <row r="86" spans="1:22" x14ac:dyDescent="0.45">
      <c r="A86" t="s">
        <v>79</v>
      </c>
      <c r="D86" t="s">
        <v>91</v>
      </c>
      <c r="G86" t="s">
        <v>91</v>
      </c>
      <c r="J86" t="s">
        <v>365</v>
      </c>
      <c r="M86" t="s">
        <v>456</v>
      </c>
      <c r="P86" t="s">
        <v>623</v>
      </c>
      <c r="S86" t="s">
        <v>688</v>
      </c>
      <c r="V86" t="s">
        <v>79</v>
      </c>
    </row>
    <row r="87" spans="1:22" x14ac:dyDescent="0.45">
      <c r="A87" t="s">
        <v>80</v>
      </c>
      <c r="D87" t="s">
        <v>246</v>
      </c>
      <c r="G87" t="s">
        <v>562</v>
      </c>
      <c r="J87" t="s">
        <v>257</v>
      </c>
      <c r="M87" t="s">
        <v>457</v>
      </c>
      <c r="P87" t="s">
        <v>80</v>
      </c>
      <c r="S87" t="s">
        <v>562</v>
      </c>
      <c r="V87" t="s">
        <v>92</v>
      </c>
    </row>
    <row r="88" spans="1:22" x14ac:dyDescent="0.45">
      <c r="A88" t="s">
        <v>81</v>
      </c>
      <c r="D88" t="s">
        <v>247</v>
      </c>
      <c r="G88" t="s">
        <v>563</v>
      </c>
      <c r="J88" t="s">
        <v>366</v>
      </c>
      <c r="M88" t="s">
        <v>458</v>
      </c>
      <c r="P88" t="s">
        <v>366</v>
      </c>
      <c r="S88" t="s">
        <v>247</v>
      </c>
      <c r="V88" t="s">
        <v>732</v>
      </c>
    </row>
    <row r="89" spans="1:22" x14ac:dyDescent="0.45">
      <c r="A89" t="s">
        <v>82</v>
      </c>
      <c r="D89" t="s">
        <v>82</v>
      </c>
      <c r="G89" t="s">
        <v>258</v>
      </c>
      <c r="J89" t="s">
        <v>367</v>
      </c>
      <c r="M89" t="s">
        <v>459</v>
      </c>
      <c r="P89" t="s">
        <v>82</v>
      </c>
      <c r="S89" t="s">
        <v>82</v>
      </c>
      <c r="V89" t="s">
        <v>626</v>
      </c>
    </row>
    <row r="90" spans="1:22" x14ac:dyDescent="0.45">
      <c r="A90" t="s">
        <v>83</v>
      </c>
      <c r="D90" t="s">
        <v>248</v>
      </c>
      <c r="G90" t="s">
        <v>564</v>
      </c>
      <c r="J90" t="s">
        <v>83</v>
      </c>
      <c r="M90" t="s">
        <v>460</v>
      </c>
      <c r="P90" t="s">
        <v>624</v>
      </c>
      <c r="S90" t="s">
        <v>83</v>
      </c>
      <c r="V90" t="s">
        <v>624</v>
      </c>
    </row>
    <row r="91" spans="1:22" x14ac:dyDescent="0.45">
      <c r="A91" t="s">
        <v>65</v>
      </c>
      <c r="D91" t="s">
        <v>233</v>
      </c>
      <c r="G91" t="s">
        <v>275</v>
      </c>
      <c r="J91" t="s">
        <v>96</v>
      </c>
      <c r="M91" t="s">
        <v>233</v>
      </c>
      <c r="P91" t="s">
        <v>275</v>
      </c>
      <c r="S91" t="s">
        <v>96</v>
      </c>
      <c r="V91" t="s">
        <v>39</v>
      </c>
    </row>
    <row r="92" spans="1:22" x14ac:dyDescent="0.45">
      <c r="A92" t="s">
        <v>47</v>
      </c>
      <c r="D92" t="s">
        <v>216</v>
      </c>
      <c r="G92" t="s">
        <v>47</v>
      </c>
      <c r="J92" t="s">
        <v>47</v>
      </c>
      <c r="M92" t="s">
        <v>47</v>
      </c>
      <c r="P92" t="s">
        <v>47</v>
      </c>
      <c r="S92" t="s">
        <v>47</v>
      </c>
      <c r="V92" t="s">
        <v>47</v>
      </c>
    </row>
    <row r="93" spans="1:22" x14ac:dyDescent="0.45">
      <c r="A93" t="s">
        <v>84</v>
      </c>
      <c r="D93" t="s">
        <v>249</v>
      </c>
      <c r="G93" t="s">
        <v>84</v>
      </c>
      <c r="J93" t="s">
        <v>368</v>
      </c>
      <c r="M93" t="s">
        <v>461</v>
      </c>
      <c r="P93" t="s">
        <v>374</v>
      </c>
      <c r="S93" t="s">
        <v>374</v>
      </c>
      <c r="V93" t="s">
        <v>733</v>
      </c>
    </row>
    <row r="94" spans="1:22" x14ac:dyDescent="0.45">
      <c r="A94" t="s">
        <v>85</v>
      </c>
      <c r="D94" t="s">
        <v>250</v>
      </c>
      <c r="G94" t="s">
        <v>565</v>
      </c>
      <c r="J94" t="s">
        <v>369</v>
      </c>
      <c r="M94" t="s">
        <v>462</v>
      </c>
      <c r="P94" t="s">
        <v>625</v>
      </c>
      <c r="S94" t="s">
        <v>689</v>
      </c>
      <c r="V94" t="s">
        <v>85</v>
      </c>
    </row>
    <row r="95" spans="1:22" x14ac:dyDescent="0.45">
      <c r="A95" t="s">
        <v>86</v>
      </c>
      <c r="D95" t="s">
        <v>251</v>
      </c>
      <c r="G95" t="s">
        <v>566</v>
      </c>
      <c r="J95" t="s">
        <v>370</v>
      </c>
      <c r="M95" t="s">
        <v>463</v>
      </c>
      <c r="P95" t="s">
        <v>566</v>
      </c>
      <c r="S95" t="s">
        <v>463</v>
      </c>
      <c r="V95" t="s">
        <v>80</v>
      </c>
    </row>
    <row r="96" spans="1:22" x14ac:dyDescent="0.45">
      <c r="A96" t="s">
        <v>87</v>
      </c>
      <c r="D96" t="s">
        <v>252</v>
      </c>
      <c r="G96" t="s">
        <v>567</v>
      </c>
      <c r="J96" t="s">
        <v>371</v>
      </c>
      <c r="M96" t="s">
        <v>464</v>
      </c>
      <c r="P96" t="s">
        <v>81</v>
      </c>
      <c r="S96" t="s">
        <v>81</v>
      </c>
      <c r="V96" t="s">
        <v>734</v>
      </c>
    </row>
    <row r="97" spans="1:22" x14ac:dyDescent="0.45">
      <c r="A97" t="s">
        <v>88</v>
      </c>
      <c r="D97" t="s">
        <v>253</v>
      </c>
      <c r="G97" t="s">
        <v>82</v>
      </c>
      <c r="J97" t="s">
        <v>372</v>
      </c>
      <c r="M97" t="s">
        <v>465</v>
      </c>
      <c r="P97" t="s">
        <v>626</v>
      </c>
      <c r="S97" t="s">
        <v>88</v>
      </c>
      <c r="V97" t="s">
        <v>735</v>
      </c>
    </row>
    <row r="98" spans="1:22" x14ac:dyDescent="0.45">
      <c r="A98" t="s">
        <v>89</v>
      </c>
      <c r="D98" t="s">
        <v>254</v>
      </c>
      <c r="G98" t="s">
        <v>89</v>
      </c>
      <c r="J98" t="s">
        <v>373</v>
      </c>
      <c r="M98" t="s">
        <v>466</v>
      </c>
      <c r="P98" t="s">
        <v>248</v>
      </c>
      <c r="S98" t="s">
        <v>373</v>
      </c>
      <c r="V98" t="s">
        <v>377</v>
      </c>
    </row>
    <row r="99" spans="1:22" x14ac:dyDescent="0.45">
      <c r="A99" t="s">
        <v>65</v>
      </c>
      <c r="D99" t="s">
        <v>255</v>
      </c>
      <c r="G99" t="s">
        <v>255</v>
      </c>
      <c r="J99" t="s">
        <v>76</v>
      </c>
      <c r="M99" t="s">
        <v>76</v>
      </c>
      <c r="P99" t="s">
        <v>233</v>
      </c>
      <c r="S99" t="s">
        <v>275</v>
      </c>
      <c r="V99" t="s">
        <v>96</v>
      </c>
    </row>
    <row r="100" spans="1:22" x14ac:dyDescent="0.45">
      <c r="A100" t="s">
        <v>53</v>
      </c>
      <c r="D100" t="s">
        <v>222</v>
      </c>
      <c r="G100" t="s">
        <v>53</v>
      </c>
      <c r="J100" t="s">
        <v>53</v>
      </c>
      <c r="M100" t="s">
        <v>53</v>
      </c>
      <c r="P100" t="s">
        <v>53</v>
      </c>
      <c r="S100" t="s">
        <v>53</v>
      </c>
      <c r="V100" t="s">
        <v>53</v>
      </c>
    </row>
    <row r="101" spans="1:22" x14ac:dyDescent="0.45">
      <c r="A101" t="s">
        <v>90</v>
      </c>
      <c r="D101" t="s">
        <v>256</v>
      </c>
      <c r="G101" t="s">
        <v>568</v>
      </c>
      <c r="J101" t="s">
        <v>374</v>
      </c>
      <c r="M101" t="s">
        <v>467</v>
      </c>
      <c r="P101" t="s">
        <v>90</v>
      </c>
      <c r="S101" t="s">
        <v>568</v>
      </c>
      <c r="V101" t="s">
        <v>736</v>
      </c>
    </row>
    <row r="102" spans="1:22" x14ac:dyDescent="0.45">
      <c r="A102" t="s">
        <v>91</v>
      </c>
      <c r="D102" t="s">
        <v>79</v>
      </c>
      <c r="G102" t="s">
        <v>79</v>
      </c>
      <c r="J102" t="s">
        <v>375</v>
      </c>
      <c r="M102" t="s">
        <v>468</v>
      </c>
      <c r="P102" t="s">
        <v>627</v>
      </c>
      <c r="S102" t="s">
        <v>690</v>
      </c>
      <c r="V102" t="s">
        <v>737</v>
      </c>
    </row>
    <row r="103" spans="1:22" x14ac:dyDescent="0.45">
      <c r="A103" t="s">
        <v>92</v>
      </c>
      <c r="D103" t="s">
        <v>257</v>
      </c>
      <c r="G103" t="s">
        <v>376</v>
      </c>
      <c r="J103" t="s">
        <v>376</v>
      </c>
      <c r="M103" t="s">
        <v>469</v>
      </c>
      <c r="P103" t="s">
        <v>257</v>
      </c>
      <c r="S103" t="s">
        <v>691</v>
      </c>
      <c r="V103" t="s">
        <v>738</v>
      </c>
    </row>
    <row r="104" spans="1:22" x14ac:dyDescent="0.45">
      <c r="A104" t="s">
        <v>93</v>
      </c>
      <c r="D104" t="s">
        <v>252</v>
      </c>
      <c r="G104" t="s">
        <v>93</v>
      </c>
      <c r="J104" t="s">
        <v>81</v>
      </c>
      <c r="M104" t="s">
        <v>470</v>
      </c>
      <c r="P104" t="s">
        <v>371</v>
      </c>
      <c r="S104" t="s">
        <v>371</v>
      </c>
      <c r="V104" t="s">
        <v>366</v>
      </c>
    </row>
    <row r="105" spans="1:22" x14ac:dyDescent="0.45">
      <c r="A105" t="s">
        <v>94</v>
      </c>
      <c r="D105" t="s">
        <v>258</v>
      </c>
      <c r="G105" t="s">
        <v>94</v>
      </c>
      <c r="J105" t="s">
        <v>82</v>
      </c>
      <c r="M105" t="s">
        <v>258</v>
      </c>
      <c r="P105" t="s">
        <v>372</v>
      </c>
      <c r="S105" t="s">
        <v>253</v>
      </c>
      <c r="V105" t="s">
        <v>367</v>
      </c>
    </row>
    <row r="106" spans="1:22" x14ac:dyDescent="0.45">
      <c r="A106" t="s">
        <v>95</v>
      </c>
      <c r="D106" t="s">
        <v>259</v>
      </c>
      <c r="G106" t="s">
        <v>83</v>
      </c>
      <c r="J106" t="s">
        <v>377</v>
      </c>
      <c r="M106" t="s">
        <v>471</v>
      </c>
      <c r="P106" t="s">
        <v>628</v>
      </c>
      <c r="S106" t="s">
        <v>692</v>
      </c>
      <c r="V106" t="s">
        <v>95</v>
      </c>
    </row>
    <row r="107" spans="1:22" x14ac:dyDescent="0.45">
      <c r="A107" t="s">
        <v>96</v>
      </c>
      <c r="D107" t="s">
        <v>260</v>
      </c>
      <c r="G107" t="s">
        <v>39</v>
      </c>
      <c r="J107" t="s">
        <v>39</v>
      </c>
      <c r="M107" t="s">
        <v>472</v>
      </c>
      <c r="P107" t="s">
        <v>560</v>
      </c>
      <c r="S107" t="s">
        <v>617</v>
      </c>
      <c r="V107" t="s">
        <v>739</v>
      </c>
    </row>
    <row r="108" spans="1:22" x14ac:dyDescent="0.45">
      <c r="A108" t="s">
        <v>97</v>
      </c>
      <c r="D108" t="s">
        <v>261</v>
      </c>
      <c r="G108" t="s">
        <v>97</v>
      </c>
      <c r="J108" t="s">
        <v>97</v>
      </c>
      <c r="M108" t="s">
        <v>97</v>
      </c>
      <c r="P108" t="s">
        <v>629</v>
      </c>
      <c r="S108" t="s">
        <v>693</v>
      </c>
      <c r="V108" t="s">
        <v>740</v>
      </c>
    </row>
    <row r="109" spans="1:22" x14ac:dyDescent="0.45">
      <c r="A109" t="s">
        <v>41</v>
      </c>
      <c r="D109" t="s">
        <v>212</v>
      </c>
      <c r="G109" t="s">
        <v>41</v>
      </c>
      <c r="J109" t="s">
        <v>41</v>
      </c>
      <c r="M109" t="s">
        <v>41</v>
      </c>
      <c r="P109" t="s">
        <v>41</v>
      </c>
      <c r="S109" t="s">
        <v>41</v>
      </c>
      <c r="V109" t="s">
        <v>41</v>
      </c>
    </row>
    <row r="110" spans="1:22" x14ac:dyDescent="0.45">
      <c r="A110" t="s">
        <v>98</v>
      </c>
      <c r="D110" t="s">
        <v>262</v>
      </c>
      <c r="G110" t="s">
        <v>473</v>
      </c>
      <c r="J110" t="s">
        <v>108</v>
      </c>
      <c r="M110" t="s">
        <v>473</v>
      </c>
      <c r="P110" t="s">
        <v>630</v>
      </c>
      <c r="S110" t="s">
        <v>262</v>
      </c>
      <c r="V110" t="s">
        <v>741</v>
      </c>
    </row>
    <row r="111" spans="1:22" x14ac:dyDescent="0.45">
      <c r="A111" t="s">
        <v>99</v>
      </c>
      <c r="D111" t="s">
        <v>263</v>
      </c>
      <c r="G111" t="s">
        <v>569</v>
      </c>
      <c r="J111" t="s">
        <v>378</v>
      </c>
      <c r="M111" t="s">
        <v>474</v>
      </c>
      <c r="P111" t="s">
        <v>378</v>
      </c>
      <c r="S111" t="s">
        <v>263</v>
      </c>
      <c r="V111" t="s">
        <v>742</v>
      </c>
    </row>
    <row r="112" spans="1:22" x14ac:dyDescent="0.45">
      <c r="A112" t="s">
        <v>100</v>
      </c>
      <c r="D112" t="s">
        <v>264</v>
      </c>
      <c r="G112" t="s">
        <v>381</v>
      </c>
      <c r="J112" t="s">
        <v>109</v>
      </c>
      <c r="M112" t="s">
        <v>475</v>
      </c>
      <c r="P112" t="s">
        <v>631</v>
      </c>
      <c r="S112" t="s">
        <v>264</v>
      </c>
      <c r="V112" t="s">
        <v>743</v>
      </c>
    </row>
    <row r="113" spans="1:22" x14ac:dyDescent="0.45">
      <c r="A113" t="s">
        <v>101</v>
      </c>
      <c r="D113" t="s">
        <v>110</v>
      </c>
      <c r="G113" t="s">
        <v>273</v>
      </c>
      <c r="J113" t="s">
        <v>110</v>
      </c>
      <c r="M113" t="s">
        <v>476</v>
      </c>
      <c r="P113" t="s">
        <v>632</v>
      </c>
      <c r="S113" t="s">
        <v>694</v>
      </c>
      <c r="V113" t="s">
        <v>101</v>
      </c>
    </row>
    <row r="114" spans="1:22" x14ac:dyDescent="0.45">
      <c r="A114" t="s">
        <v>102</v>
      </c>
      <c r="D114" t="s">
        <v>265</v>
      </c>
      <c r="G114" t="s">
        <v>570</v>
      </c>
      <c r="J114" t="s">
        <v>102</v>
      </c>
      <c r="M114" t="s">
        <v>477</v>
      </c>
      <c r="P114" t="s">
        <v>633</v>
      </c>
      <c r="S114" t="s">
        <v>695</v>
      </c>
      <c r="V114" t="s">
        <v>111</v>
      </c>
    </row>
    <row r="115" spans="1:22" x14ac:dyDescent="0.45">
      <c r="A115" t="s">
        <v>65</v>
      </c>
      <c r="D115" t="s">
        <v>76</v>
      </c>
      <c r="G115" t="s">
        <v>76</v>
      </c>
      <c r="J115" t="s">
        <v>76</v>
      </c>
      <c r="M115" t="s">
        <v>297</v>
      </c>
      <c r="P115" t="s">
        <v>76</v>
      </c>
      <c r="S115" t="s">
        <v>275</v>
      </c>
      <c r="V115" t="s">
        <v>96</v>
      </c>
    </row>
    <row r="116" spans="1:22" x14ac:dyDescent="0.45">
      <c r="A116" t="s">
        <v>47</v>
      </c>
      <c r="D116" t="s">
        <v>216</v>
      </c>
      <c r="G116" t="s">
        <v>47</v>
      </c>
      <c r="J116" t="s">
        <v>47</v>
      </c>
      <c r="M116" t="s">
        <v>47</v>
      </c>
      <c r="P116" t="s">
        <v>47</v>
      </c>
      <c r="S116" t="s">
        <v>47</v>
      </c>
      <c r="V116" t="s">
        <v>47</v>
      </c>
    </row>
    <row r="117" spans="1:22" x14ac:dyDescent="0.45">
      <c r="A117" t="s">
        <v>103</v>
      </c>
      <c r="D117" t="s">
        <v>266</v>
      </c>
      <c r="G117" t="s">
        <v>571</v>
      </c>
      <c r="J117" t="s">
        <v>379</v>
      </c>
      <c r="M117" t="s">
        <v>478</v>
      </c>
      <c r="P117" t="s">
        <v>634</v>
      </c>
      <c r="S117" t="s">
        <v>696</v>
      </c>
      <c r="V117" t="s">
        <v>744</v>
      </c>
    </row>
    <row r="118" spans="1:22" x14ac:dyDescent="0.45">
      <c r="A118" t="s">
        <v>104</v>
      </c>
      <c r="D118" t="s">
        <v>267</v>
      </c>
      <c r="G118" t="s">
        <v>572</v>
      </c>
      <c r="J118" t="s">
        <v>380</v>
      </c>
      <c r="M118" t="s">
        <v>479</v>
      </c>
      <c r="P118" t="s">
        <v>635</v>
      </c>
      <c r="S118" t="s">
        <v>697</v>
      </c>
      <c r="V118" t="s">
        <v>745</v>
      </c>
    </row>
    <row r="119" spans="1:22" x14ac:dyDescent="0.45">
      <c r="A119" t="s">
        <v>105</v>
      </c>
      <c r="D119" t="s">
        <v>268</v>
      </c>
      <c r="G119" t="s">
        <v>384</v>
      </c>
      <c r="J119" t="s">
        <v>381</v>
      </c>
      <c r="M119" t="s">
        <v>480</v>
      </c>
      <c r="P119" t="s">
        <v>105</v>
      </c>
      <c r="S119" t="s">
        <v>631</v>
      </c>
      <c r="V119" t="s">
        <v>100</v>
      </c>
    </row>
    <row r="120" spans="1:22" x14ac:dyDescent="0.45">
      <c r="A120" t="s">
        <v>106</v>
      </c>
      <c r="D120" t="s">
        <v>269</v>
      </c>
      <c r="G120" t="s">
        <v>573</v>
      </c>
      <c r="J120" t="s">
        <v>273</v>
      </c>
      <c r="M120" t="s">
        <v>481</v>
      </c>
      <c r="P120" t="s">
        <v>273</v>
      </c>
      <c r="S120" t="s">
        <v>106</v>
      </c>
      <c r="V120" t="s">
        <v>746</v>
      </c>
    </row>
    <row r="121" spans="1:22" x14ac:dyDescent="0.45">
      <c r="A121" t="s">
        <v>107</v>
      </c>
      <c r="D121" t="s">
        <v>270</v>
      </c>
      <c r="G121" t="s">
        <v>265</v>
      </c>
      <c r="J121" t="s">
        <v>270</v>
      </c>
      <c r="M121" t="s">
        <v>482</v>
      </c>
      <c r="P121" t="s">
        <v>270</v>
      </c>
      <c r="S121" t="s">
        <v>102</v>
      </c>
      <c r="V121" t="s">
        <v>270</v>
      </c>
    </row>
    <row r="122" spans="1:22" x14ac:dyDescent="0.45">
      <c r="A122" t="s">
        <v>65</v>
      </c>
      <c r="D122" t="s">
        <v>76</v>
      </c>
      <c r="G122" t="s">
        <v>233</v>
      </c>
      <c r="J122" t="s">
        <v>76</v>
      </c>
      <c r="M122" t="s">
        <v>483</v>
      </c>
      <c r="P122" t="s">
        <v>297</v>
      </c>
      <c r="S122" t="s">
        <v>76</v>
      </c>
      <c r="V122" t="s">
        <v>76</v>
      </c>
    </row>
    <row r="123" spans="1:22" x14ac:dyDescent="0.45">
      <c r="A123" t="s">
        <v>53</v>
      </c>
      <c r="D123" t="s">
        <v>222</v>
      </c>
      <c r="G123" t="s">
        <v>53</v>
      </c>
      <c r="J123" t="s">
        <v>53</v>
      </c>
      <c r="M123" t="s">
        <v>53</v>
      </c>
      <c r="P123" t="s">
        <v>53</v>
      </c>
      <c r="S123" t="s">
        <v>53</v>
      </c>
      <c r="V123" t="s">
        <v>53</v>
      </c>
    </row>
    <row r="124" spans="1:22" x14ac:dyDescent="0.45">
      <c r="A124" t="s">
        <v>108</v>
      </c>
      <c r="D124" t="s">
        <v>108</v>
      </c>
      <c r="G124" t="s">
        <v>382</v>
      </c>
      <c r="J124" t="s">
        <v>382</v>
      </c>
      <c r="M124" t="s">
        <v>484</v>
      </c>
      <c r="P124" t="s">
        <v>108</v>
      </c>
      <c r="S124" t="s">
        <v>108</v>
      </c>
      <c r="V124" t="s">
        <v>108</v>
      </c>
    </row>
    <row r="125" spans="1:22" x14ac:dyDescent="0.45">
      <c r="A125" t="s">
        <v>99</v>
      </c>
      <c r="D125" t="s">
        <v>271</v>
      </c>
      <c r="G125" t="s">
        <v>383</v>
      </c>
      <c r="J125" t="s">
        <v>383</v>
      </c>
      <c r="M125" t="s">
        <v>485</v>
      </c>
      <c r="P125" t="s">
        <v>99</v>
      </c>
      <c r="S125" t="s">
        <v>378</v>
      </c>
      <c r="V125" t="s">
        <v>378</v>
      </c>
    </row>
    <row r="126" spans="1:22" x14ac:dyDescent="0.45">
      <c r="A126" t="s">
        <v>109</v>
      </c>
      <c r="D126" t="s">
        <v>272</v>
      </c>
      <c r="G126" t="s">
        <v>486</v>
      </c>
      <c r="J126" t="s">
        <v>384</v>
      </c>
      <c r="M126" t="s">
        <v>486</v>
      </c>
      <c r="P126" t="s">
        <v>384</v>
      </c>
      <c r="S126" t="s">
        <v>384</v>
      </c>
      <c r="V126" t="s">
        <v>109</v>
      </c>
    </row>
    <row r="127" spans="1:22" x14ac:dyDescent="0.45">
      <c r="A127" t="s">
        <v>110</v>
      </c>
      <c r="D127" t="s">
        <v>273</v>
      </c>
      <c r="G127" t="s">
        <v>574</v>
      </c>
      <c r="J127" t="s">
        <v>273</v>
      </c>
      <c r="M127" t="s">
        <v>487</v>
      </c>
      <c r="P127" t="s">
        <v>273</v>
      </c>
      <c r="S127" t="s">
        <v>269</v>
      </c>
      <c r="V127" t="s">
        <v>110</v>
      </c>
    </row>
    <row r="128" spans="1:22" x14ac:dyDescent="0.45">
      <c r="A128" t="s">
        <v>111</v>
      </c>
      <c r="D128" t="s">
        <v>274</v>
      </c>
      <c r="G128" t="s">
        <v>575</v>
      </c>
      <c r="J128" t="s">
        <v>111</v>
      </c>
      <c r="M128" t="s">
        <v>488</v>
      </c>
      <c r="P128" t="s">
        <v>570</v>
      </c>
      <c r="S128" t="s">
        <v>698</v>
      </c>
      <c r="V128" t="s">
        <v>575</v>
      </c>
    </row>
    <row r="129" spans="1:22" x14ac:dyDescent="0.45">
      <c r="A129" t="s">
        <v>76</v>
      </c>
      <c r="D129" t="s">
        <v>275</v>
      </c>
      <c r="G129" t="s">
        <v>275</v>
      </c>
      <c r="J129" t="s">
        <v>96</v>
      </c>
      <c r="M129" t="s">
        <v>233</v>
      </c>
      <c r="P129" t="s">
        <v>275</v>
      </c>
      <c r="S129" t="s">
        <v>560</v>
      </c>
      <c r="V129" t="s">
        <v>39</v>
      </c>
    </row>
    <row r="130" spans="1:22" x14ac:dyDescent="0.45">
      <c r="A130" t="s">
        <v>112</v>
      </c>
      <c r="D130" t="s">
        <v>276</v>
      </c>
      <c r="G130" t="s">
        <v>112</v>
      </c>
      <c r="J130" t="s">
        <v>112</v>
      </c>
      <c r="M130" t="s">
        <v>112</v>
      </c>
      <c r="P130" t="s">
        <v>636</v>
      </c>
      <c r="S130" t="s">
        <v>699</v>
      </c>
      <c r="V130" t="s">
        <v>747</v>
      </c>
    </row>
    <row r="131" spans="1:22" x14ac:dyDescent="0.45">
      <c r="A131" t="s">
        <v>41</v>
      </c>
      <c r="D131" t="s">
        <v>212</v>
      </c>
      <c r="G131" t="s">
        <v>41</v>
      </c>
      <c r="J131" t="s">
        <v>41</v>
      </c>
      <c r="M131" t="s">
        <v>41</v>
      </c>
      <c r="P131" t="s">
        <v>41</v>
      </c>
      <c r="S131" t="s">
        <v>41</v>
      </c>
      <c r="V131" t="s">
        <v>41</v>
      </c>
    </row>
    <row r="132" spans="1:22" x14ac:dyDescent="0.45">
      <c r="A132" t="s">
        <v>113</v>
      </c>
      <c r="D132" t="s">
        <v>277</v>
      </c>
      <c r="G132" t="s">
        <v>118</v>
      </c>
      <c r="J132" t="s">
        <v>123</v>
      </c>
      <c r="M132" t="s">
        <v>282</v>
      </c>
      <c r="P132" t="s">
        <v>118</v>
      </c>
      <c r="S132" t="s">
        <v>123</v>
      </c>
      <c r="V132" t="s">
        <v>748</v>
      </c>
    </row>
    <row r="133" spans="1:22" x14ac:dyDescent="0.45">
      <c r="A133" t="s">
        <v>114</v>
      </c>
      <c r="D133" t="s">
        <v>278</v>
      </c>
      <c r="G133" t="s">
        <v>391</v>
      </c>
      <c r="J133" t="s">
        <v>385</v>
      </c>
      <c r="M133" t="s">
        <v>489</v>
      </c>
      <c r="P133" t="s">
        <v>391</v>
      </c>
      <c r="S133" t="s">
        <v>391</v>
      </c>
      <c r="V133" t="s">
        <v>749</v>
      </c>
    </row>
    <row r="134" spans="1:22" x14ac:dyDescent="0.45">
      <c r="A134" t="s">
        <v>115</v>
      </c>
      <c r="D134" t="s">
        <v>279</v>
      </c>
      <c r="G134" t="s">
        <v>120</v>
      </c>
      <c r="J134" t="s">
        <v>115</v>
      </c>
      <c r="M134" t="s">
        <v>490</v>
      </c>
      <c r="P134" t="s">
        <v>637</v>
      </c>
      <c r="S134" t="s">
        <v>279</v>
      </c>
      <c r="V134" t="s">
        <v>750</v>
      </c>
    </row>
    <row r="135" spans="1:22" x14ac:dyDescent="0.45">
      <c r="A135" t="s">
        <v>116</v>
      </c>
      <c r="D135" t="s">
        <v>280</v>
      </c>
      <c r="G135" t="s">
        <v>576</v>
      </c>
      <c r="J135" t="s">
        <v>285</v>
      </c>
      <c r="M135" t="s">
        <v>491</v>
      </c>
      <c r="P135" t="s">
        <v>576</v>
      </c>
      <c r="S135" t="s">
        <v>639</v>
      </c>
      <c r="V135" t="s">
        <v>751</v>
      </c>
    </row>
    <row r="136" spans="1:22" x14ac:dyDescent="0.45">
      <c r="A136" t="s">
        <v>117</v>
      </c>
      <c r="D136" t="s">
        <v>281</v>
      </c>
      <c r="G136" t="s">
        <v>117</v>
      </c>
      <c r="J136" t="s">
        <v>386</v>
      </c>
      <c r="M136" t="s">
        <v>492</v>
      </c>
      <c r="P136" t="s">
        <v>638</v>
      </c>
      <c r="S136" t="s">
        <v>117</v>
      </c>
      <c r="V136" t="s">
        <v>752</v>
      </c>
    </row>
    <row r="137" spans="1:22" x14ac:dyDescent="0.45">
      <c r="A137" t="s">
        <v>65</v>
      </c>
      <c r="D137" t="s">
        <v>76</v>
      </c>
      <c r="G137" t="s">
        <v>233</v>
      </c>
      <c r="J137" t="s">
        <v>76</v>
      </c>
      <c r="M137" t="s">
        <v>297</v>
      </c>
      <c r="P137" t="s">
        <v>76</v>
      </c>
      <c r="S137" t="s">
        <v>275</v>
      </c>
      <c r="V137" t="s">
        <v>39</v>
      </c>
    </row>
    <row r="138" spans="1:22" x14ac:dyDescent="0.45">
      <c r="A138" t="s">
        <v>47</v>
      </c>
      <c r="D138" t="s">
        <v>216</v>
      </c>
      <c r="G138" t="s">
        <v>47</v>
      </c>
      <c r="J138" t="s">
        <v>47</v>
      </c>
      <c r="M138" t="s">
        <v>47</v>
      </c>
      <c r="P138" t="s">
        <v>47</v>
      </c>
      <c r="S138" t="s">
        <v>47</v>
      </c>
      <c r="V138" t="s">
        <v>47</v>
      </c>
    </row>
    <row r="139" spans="1:22" x14ac:dyDescent="0.45">
      <c r="A139" t="s">
        <v>118</v>
      </c>
      <c r="D139" t="s">
        <v>282</v>
      </c>
      <c r="G139" t="s">
        <v>113</v>
      </c>
      <c r="J139" t="s">
        <v>387</v>
      </c>
      <c r="M139" t="s">
        <v>493</v>
      </c>
      <c r="P139" t="s">
        <v>113</v>
      </c>
      <c r="S139" t="s">
        <v>387</v>
      </c>
      <c r="V139" t="s">
        <v>753</v>
      </c>
    </row>
    <row r="140" spans="1:22" x14ac:dyDescent="0.45">
      <c r="A140" t="s">
        <v>119</v>
      </c>
      <c r="D140" t="s">
        <v>283</v>
      </c>
      <c r="G140" t="s">
        <v>114</v>
      </c>
      <c r="J140" t="s">
        <v>114</v>
      </c>
      <c r="M140" t="s">
        <v>494</v>
      </c>
      <c r="P140" t="s">
        <v>114</v>
      </c>
      <c r="S140" t="s">
        <v>700</v>
      </c>
      <c r="V140" t="s">
        <v>754</v>
      </c>
    </row>
    <row r="141" spans="1:22" x14ac:dyDescent="0.45">
      <c r="A141" t="s">
        <v>120</v>
      </c>
      <c r="D141" t="s">
        <v>284</v>
      </c>
      <c r="G141" t="s">
        <v>115</v>
      </c>
      <c r="J141" t="s">
        <v>388</v>
      </c>
      <c r="M141" t="s">
        <v>288</v>
      </c>
      <c r="P141" t="s">
        <v>125</v>
      </c>
      <c r="S141" t="s">
        <v>120</v>
      </c>
      <c r="V141" t="s">
        <v>755</v>
      </c>
    </row>
    <row r="142" spans="1:22" x14ac:dyDescent="0.45">
      <c r="A142" t="s">
        <v>121</v>
      </c>
      <c r="D142" t="s">
        <v>285</v>
      </c>
      <c r="G142" t="s">
        <v>126</v>
      </c>
      <c r="J142" t="s">
        <v>126</v>
      </c>
      <c r="M142" t="s">
        <v>495</v>
      </c>
      <c r="P142" t="s">
        <v>639</v>
      </c>
      <c r="S142" t="s">
        <v>701</v>
      </c>
      <c r="V142" t="s">
        <v>121</v>
      </c>
    </row>
    <row r="143" spans="1:22" x14ac:dyDescent="0.45">
      <c r="A143" t="s">
        <v>122</v>
      </c>
      <c r="D143" t="s">
        <v>286</v>
      </c>
      <c r="G143" t="s">
        <v>577</v>
      </c>
      <c r="J143" t="s">
        <v>389</v>
      </c>
      <c r="M143" t="s">
        <v>496</v>
      </c>
      <c r="P143" t="s">
        <v>389</v>
      </c>
      <c r="S143" t="s">
        <v>702</v>
      </c>
      <c r="V143" t="s">
        <v>756</v>
      </c>
    </row>
    <row r="144" spans="1:22" x14ac:dyDescent="0.45">
      <c r="A144" t="s">
        <v>65</v>
      </c>
      <c r="D144" t="s">
        <v>76</v>
      </c>
      <c r="G144" t="s">
        <v>76</v>
      </c>
      <c r="J144" t="s">
        <v>76</v>
      </c>
      <c r="M144" t="s">
        <v>483</v>
      </c>
      <c r="P144" t="s">
        <v>297</v>
      </c>
      <c r="S144" t="s">
        <v>76</v>
      </c>
      <c r="V144" t="s">
        <v>96</v>
      </c>
    </row>
    <row r="145" spans="1:22" x14ac:dyDescent="0.45">
      <c r="A145" t="s">
        <v>53</v>
      </c>
      <c r="D145" t="s">
        <v>222</v>
      </c>
      <c r="G145" t="s">
        <v>53</v>
      </c>
      <c r="J145" t="s">
        <v>53</v>
      </c>
      <c r="M145" t="s">
        <v>53</v>
      </c>
      <c r="P145" t="s">
        <v>53</v>
      </c>
      <c r="S145" t="s">
        <v>53</v>
      </c>
      <c r="V145" t="s">
        <v>53</v>
      </c>
    </row>
    <row r="146" spans="1:22" x14ac:dyDescent="0.45">
      <c r="A146" t="s">
        <v>123</v>
      </c>
      <c r="D146" t="s">
        <v>287</v>
      </c>
      <c r="G146" t="s">
        <v>578</v>
      </c>
      <c r="J146" t="s">
        <v>390</v>
      </c>
      <c r="M146" t="s">
        <v>497</v>
      </c>
      <c r="P146" t="s">
        <v>123</v>
      </c>
      <c r="S146" t="s">
        <v>118</v>
      </c>
      <c r="V146" t="s">
        <v>390</v>
      </c>
    </row>
    <row r="147" spans="1:22" x14ac:dyDescent="0.45">
      <c r="A147" t="s">
        <v>124</v>
      </c>
      <c r="D147" t="s">
        <v>124</v>
      </c>
      <c r="G147" t="s">
        <v>579</v>
      </c>
      <c r="J147" t="s">
        <v>391</v>
      </c>
      <c r="M147" t="s">
        <v>498</v>
      </c>
      <c r="P147" t="s">
        <v>579</v>
      </c>
      <c r="S147" t="s">
        <v>579</v>
      </c>
      <c r="V147" t="s">
        <v>114</v>
      </c>
    </row>
    <row r="148" spans="1:22" x14ac:dyDescent="0.45">
      <c r="A148" t="s">
        <v>125</v>
      </c>
      <c r="D148" t="s">
        <v>288</v>
      </c>
      <c r="G148" t="s">
        <v>388</v>
      </c>
      <c r="J148" t="s">
        <v>120</v>
      </c>
      <c r="M148" t="s">
        <v>499</v>
      </c>
      <c r="P148" t="s">
        <v>115</v>
      </c>
      <c r="S148" t="s">
        <v>115</v>
      </c>
      <c r="V148" t="s">
        <v>757</v>
      </c>
    </row>
    <row r="149" spans="1:22" x14ac:dyDescent="0.45">
      <c r="A149" t="s">
        <v>126</v>
      </c>
      <c r="D149" t="s">
        <v>289</v>
      </c>
      <c r="G149" t="s">
        <v>580</v>
      </c>
      <c r="J149" t="s">
        <v>392</v>
      </c>
      <c r="M149" t="s">
        <v>500</v>
      </c>
      <c r="P149" t="s">
        <v>392</v>
      </c>
      <c r="S149" t="s">
        <v>126</v>
      </c>
      <c r="V149" t="s">
        <v>701</v>
      </c>
    </row>
    <row r="150" spans="1:22" x14ac:dyDescent="0.45">
      <c r="A150" t="s">
        <v>127</v>
      </c>
      <c r="D150" t="s">
        <v>290</v>
      </c>
      <c r="G150" t="s">
        <v>127</v>
      </c>
      <c r="J150" t="s">
        <v>117</v>
      </c>
      <c r="M150" t="s">
        <v>501</v>
      </c>
      <c r="P150" t="s">
        <v>117</v>
      </c>
      <c r="S150" t="s">
        <v>703</v>
      </c>
      <c r="V150" t="s">
        <v>758</v>
      </c>
    </row>
    <row r="151" spans="1:22" x14ac:dyDescent="0.45">
      <c r="A151" t="s">
        <v>76</v>
      </c>
      <c r="D151" t="s">
        <v>96</v>
      </c>
      <c r="G151" t="s">
        <v>96</v>
      </c>
      <c r="J151" t="s">
        <v>96</v>
      </c>
      <c r="M151" t="s">
        <v>233</v>
      </c>
      <c r="P151" t="s">
        <v>275</v>
      </c>
      <c r="S151" t="s">
        <v>560</v>
      </c>
      <c r="V151" t="s">
        <v>352</v>
      </c>
    </row>
    <row r="152" spans="1:22" x14ac:dyDescent="0.45">
      <c r="A152" t="s">
        <v>128</v>
      </c>
      <c r="D152" t="s">
        <v>291</v>
      </c>
      <c r="G152" t="s">
        <v>128</v>
      </c>
      <c r="J152" t="s">
        <v>128</v>
      </c>
      <c r="M152" t="s">
        <v>128</v>
      </c>
      <c r="P152" t="s">
        <v>640</v>
      </c>
      <c r="S152" t="s">
        <v>704</v>
      </c>
      <c r="V152" t="s">
        <v>759</v>
      </c>
    </row>
    <row r="153" spans="1:22" x14ac:dyDescent="0.45">
      <c r="A153" t="s">
        <v>41</v>
      </c>
      <c r="D153" t="s">
        <v>212</v>
      </c>
      <c r="G153" t="s">
        <v>41</v>
      </c>
      <c r="J153" t="s">
        <v>41</v>
      </c>
      <c r="M153" t="s">
        <v>41</v>
      </c>
      <c r="P153" t="s">
        <v>41</v>
      </c>
      <c r="S153" t="s">
        <v>41</v>
      </c>
      <c r="V153" t="s">
        <v>41</v>
      </c>
    </row>
    <row r="154" spans="1:22" x14ac:dyDescent="0.45">
      <c r="A154" t="s">
        <v>129</v>
      </c>
      <c r="D154" t="s">
        <v>292</v>
      </c>
      <c r="G154" t="s">
        <v>298</v>
      </c>
      <c r="J154" t="s">
        <v>298</v>
      </c>
      <c r="M154" t="s">
        <v>502</v>
      </c>
      <c r="P154" t="s">
        <v>135</v>
      </c>
      <c r="S154" t="s">
        <v>705</v>
      </c>
      <c r="V154" t="s">
        <v>141</v>
      </c>
    </row>
    <row r="155" spans="1:22" x14ac:dyDescent="0.45">
      <c r="A155" t="s">
        <v>130</v>
      </c>
      <c r="D155" t="s">
        <v>293</v>
      </c>
      <c r="G155" t="s">
        <v>394</v>
      </c>
      <c r="J155" t="s">
        <v>136</v>
      </c>
      <c r="M155" t="s">
        <v>503</v>
      </c>
      <c r="P155" t="s">
        <v>641</v>
      </c>
      <c r="S155" t="s">
        <v>394</v>
      </c>
      <c r="V155" t="s">
        <v>760</v>
      </c>
    </row>
    <row r="156" spans="1:22" x14ac:dyDescent="0.45">
      <c r="A156" t="s">
        <v>131</v>
      </c>
      <c r="D156" t="s">
        <v>294</v>
      </c>
      <c r="G156" t="s">
        <v>399</v>
      </c>
      <c r="J156" t="s">
        <v>143</v>
      </c>
      <c r="M156" t="s">
        <v>504</v>
      </c>
      <c r="P156" t="s">
        <v>131</v>
      </c>
      <c r="S156" t="s">
        <v>143</v>
      </c>
      <c r="V156" t="s">
        <v>395</v>
      </c>
    </row>
    <row r="157" spans="1:22" x14ac:dyDescent="0.45">
      <c r="A157" t="s">
        <v>132</v>
      </c>
      <c r="D157" t="s">
        <v>295</v>
      </c>
      <c r="G157" t="s">
        <v>396</v>
      </c>
      <c r="J157" t="s">
        <v>144</v>
      </c>
      <c r="M157" t="s">
        <v>505</v>
      </c>
      <c r="P157" t="s">
        <v>642</v>
      </c>
      <c r="S157" t="s">
        <v>581</v>
      </c>
      <c r="V157" t="s">
        <v>138</v>
      </c>
    </row>
    <row r="158" spans="1:22" x14ac:dyDescent="0.45">
      <c r="A158" t="s">
        <v>133</v>
      </c>
      <c r="D158" t="s">
        <v>296</v>
      </c>
      <c r="G158" t="s">
        <v>397</v>
      </c>
      <c r="J158" t="s">
        <v>133</v>
      </c>
      <c r="M158" t="s">
        <v>506</v>
      </c>
      <c r="P158" t="s">
        <v>133</v>
      </c>
      <c r="S158" t="s">
        <v>397</v>
      </c>
      <c r="V158" t="s">
        <v>145</v>
      </c>
    </row>
    <row r="159" spans="1:22" x14ac:dyDescent="0.45">
      <c r="A159" t="s">
        <v>134</v>
      </c>
      <c r="D159" t="s">
        <v>134</v>
      </c>
      <c r="G159" t="s">
        <v>400</v>
      </c>
      <c r="J159" t="s">
        <v>134</v>
      </c>
      <c r="M159" t="s">
        <v>507</v>
      </c>
      <c r="P159" t="s">
        <v>134</v>
      </c>
      <c r="S159" t="s">
        <v>308</v>
      </c>
      <c r="V159" t="s">
        <v>134</v>
      </c>
    </row>
    <row r="160" spans="1:22" x14ac:dyDescent="0.45">
      <c r="A160" t="s">
        <v>65</v>
      </c>
      <c r="D160" t="s">
        <v>297</v>
      </c>
      <c r="G160" t="s">
        <v>76</v>
      </c>
      <c r="J160" t="s">
        <v>76</v>
      </c>
      <c r="M160" t="s">
        <v>297</v>
      </c>
      <c r="P160" t="s">
        <v>297</v>
      </c>
      <c r="S160" t="s">
        <v>233</v>
      </c>
      <c r="V160" t="s">
        <v>76</v>
      </c>
    </row>
    <row r="161" spans="1:22" x14ac:dyDescent="0.45">
      <c r="A161" t="s">
        <v>47</v>
      </c>
      <c r="D161" t="s">
        <v>216</v>
      </c>
      <c r="G161" t="s">
        <v>47</v>
      </c>
      <c r="J161" t="s">
        <v>47</v>
      </c>
      <c r="M161" t="s">
        <v>47</v>
      </c>
      <c r="P161" t="s">
        <v>47</v>
      </c>
      <c r="S161" t="s">
        <v>47</v>
      </c>
      <c r="V161" t="s">
        <v>47</v>
      </c>
    </row>
    <row r="162" spans="1:22" x14ac:dyDescent="0.45">
      <c r="A162" t="s">
        <v>135</v>
      </c>
      <c r="D162" t="s">
        <v>298</v>
      </c>
      <c r="G162" t="s">
        <v>393</v>
      </c>
      <c r="J162" t="s">
        <v>393</v>
      </c>
      <c r="M162" t="s">
        <v>508</v>
      </c>
      <c r="P162" t="s">
        <v>298</v>
      </c>
      <c r="S162" t="s">
        <v>298</v>
      </c>
      <c r="V162" t="s">
        <v>761</v>
      </c>
    </row>
    <row r="163" spans="1:22" x14ac:dyDescent="0.45">
      <c r="A163" t="s">
        <v>136</v>
      </c>
      <c r="D163" t="s">
        <v>136</v>
      </c>
      <c r="G163" t="s">
        <v>394</v>
      </c>
      <c r="J163" t="s">
        <v>394</v>
      </c>
      <c r="M163" t="s">
        <v>509</v>
      </c>
      <c r="P163" t="s">
        <v>136</v>
      </c>
      <c r="S163" t="s">
        <v>706</v>
      </c>
      <c r="V163" t="s">
        <v>762</v>
      </c>
    </row>
    <row r="164" spans="1:22" x14ac:dyDescent="0.45">
      <c r="A164" t="s">
        <v>137</v>
      </c>
      <c r="D164" t="s">
        <v>299</v>
      </c>
      <c r="G164" t="s">
        <v>143</v>
      </c>
      <c r="J164" t="s">
        <v>395</v>
      </c>
      <c r="M164" t="s">
        <v>510</v>
      </c>
      <c r="P164" t="s">
        <v>643</v>
      </c>
      <c r="S164" t="s">
        <v>707</v>
      </c>
      <c r="V164" t="s">
        <v>763</v>
      </c>
    </row>
    <row r="165" spans="1:22" x14ac:dyDescent="0.45">
      <c r="A165" t="s">
        <v>138</v>
      </c>
      <c r="D165" t="s">
        <v>300</v>
      </c>
      <c r="G165" t="s">
        <v>581</v>
      </c>
      <c r="J165" t="s">
        <v>396</v>
      </c>
      <c r="M165" t="s">
        <v>306</v>
      </c>
      <c r="P165" t="s">
        <v>144</v>
      </c>
      <c r="S165" t="s">
        <v>144</v>
      </c>
      <c r="V165" t="s">
        <v>764</v>
      </c>
    </row>
    <row r="166" spans="1:22" x14ac:dyDescent="0.45">
      <c r="A166" t="s">
        <v>139</v>
      </c>
      <c r="D166" t="s">
        <v>301</v>
      </c>
      <c r="G166" t="s">
        <v>582</v>
      </c>
      <c r="J166" t="s">
        <v>397</v>
      </c>
      <c r="M166" t="s">
        <v>511</v>
      </c>
      <c r="P166" t="s">
        <v>397</v>
      </c>
      <c r="S166" t="s">
        <v>582</v>
      </c>
      <c r="V166" t="s">
        <v>765</v>
      </c>
    </row>
    <row r="167" spans="1:22" x14ac:dyDescent="0.45">
      <c r="A167" t="s">
        <v>140</v>
      </c>
      <c r="D167" t="s">
        <v>302</v>
      </c>
      <c r="G167" t="s">
        <v>146</v>
      </c>
      <c r="J167" t="s">
        <v>140</v>
      </c>
      <c r="M167" t="s">
        <v>512</v>
      </c>
      <c r="P167" t="s">
        <v>146</v>
      </c>
      <c r="S167" t="s">
        <v>708</v>
      </c>
      <c r="V167" t="s">
        <v>140</v>
      </c>
    </row>
    <row r="168" spans="1:22" x14ac:dyDescent="0.45">
      <c r="A168" t="s">
        <v>65</v>
      </c>
      <c r="D168" t="s">
        <v>297</v>
      </c>
      <c r="G168" t="s">
        <v>76</v>
      </c>
      <c r="J168" t="s">
        <v>76</v>
      </c>
      <c r="M168" t="s">
        <v>483</v>
      </c>
      <c r="P168" t="s">
        <v>483</v>
      </c>
      <c r="S168" t="s">
        <v>76</v>
      </c>
      <c r="V168" t="s">
        <v>76</v>
      </c>
    </row>
    <row r="169" spans="1:22" x14ac:dyDescent="0.45">
      <c r="A169" t="s">
        <v>53</v>
      </c>
      <c r="D169" t="s">
        <v>222</v>
      </c>
      <c r="G169" t="s">
        <v>53</v>
      </c>
      <c r="J169" t="s">
        <v>53</v>
      </c>
      <c r="M169" t="s">
        <v>53</v>
      </c>
      <c r="P169" t="s">
        <v>53</v>
      </c>
      <c r="S169" t="s">
        <v>53</v>
      </c>
      <c r="V169" t="s">
        <v>53</v>
      </c>
    </row>
    <row r="170" spans="1:22" x14ac:dyDescent="0.45">
      <c r="A170" t="s">
        <v>141</v>
      </c>
      <c r="D170" t="s">
        <v>303</v>
      </c>
      <c r="G170" t="s">
        <v>583</v>
      </c>
      <c r="J170" t="s">
        <v>135</v>
      </c>
      <c r="M170" t="s">
        <v>513</v>
      </c>
      <c r="P170" t="s">
        <v>393</v>
      </c>
      <c r="S170" t="s">
        <v>135</v>
      </c>
      <c r="V170" t="s">
        <v>129</v>
      </c>
    </row>
    <row r="171" spans="1:22" x14ac:dyDescent="0.45">
      <c r="A171" t="s">
        <v>142</v>
      </c>
      <c r="D171" t="s">
        <v>304</v>
      </c>
      <c r="G171" t="s">
        <v>398</v>
      </c>
      <c r="J171" t="s">
        <v>398</v>
      </c>
      <c r="M171" t="s">
        <v>514</v>
      </c>
      <c r="P171" t="s">
        <v>394</v>
      </c>
      <c r="S171" t="s">
        <v>304</v>
      </c>
      <c r="V171" t="s">
        <v>142</v>
      </c>
    </row>
    <row r="172" spans="1:22" x14ac:dyDescent="0.45">
      <c r="A172" t="s">
        <v>143</v>
      </c>
      <c r="D172" t="s">
        <v>305</v>
      </c>
      <c r="G172" t="s">
        <v>584</v>
      </c>
      <c r="J172" t="s">
        <v>399</v>
      </c>
      <c r="M172" t="s">
        <v>515</v>
      </c>
      <c r="P172" t="s">
        <v>399</v>
      </c>
      <c r="S172" t="s">
        <v>709</v>
      </c>
      <c r="V172" t="s">
        <v>143</v>
      </c>
    </row>
    <row r="173" spans="1:22" x14ac:dyDescent="0.45">
      <c r="A173" t="s">
        <v>144</v>
      </c>
      <c r="D173" t="s">
        <v>306</v>
      </c>
      <c r="G173" t="s">
        <v>585</v>
      </c>
      <c r="J173" t="s">
        <v>396</v>
      </c>
      <c r="M173" t="s">
        <v>516</v>
      </c>
      <c r="P173" t="s">
        <v>396</v>
      </c>
      <c r="S173" t="s">
        <v>585</v>
      </c>
      <c r="V173" t="s">
        <v>766</v>
      </c>
    </row>
    <row r="174" spans="1:22" x14ac:dyDescent="0.45">
      <c r="A174" t="s">
        <v>145</v>
      </c>
      <c r="D174" t="s">
        <v>307</v>
      </c>
      <c r="G174" t="s">
        <v>586</v>
      </c>
      <c r="J174" t="s">
        <v>139</v>
      </c>
      <c r="M174" t="s">
        <v>517</v>
      </c>
      <c r="P174" t="s">
        <v>139</v>
      </c>
      <c r="S174" t="s">
        <v>296</v>
      </c>
      <c r="V174" t="s">
        <v>139</v>
      </c>
    </row>
    <row r="175" spans="1:22" x14ac:dyDescent="0.45">
      <c r="A175" t="s">
        <v>146</v>
      </c>
      <c r="D175" t="s">
        <v>308</v>
      </c>
      <c r="G175" t="s">
        <v>587</v>
      </c>
      <c r="J175" t="s">
        <v>400</v>
      </c>
      <c r="M175" t="s">
        <v>518</v>
      </c>
      <c r="P175" t="s">
        <v>308</v>
      </c>
      <c r="S175" t="s">
        <v>587</v>
      </c>
      <c r="V175" t="s">
        <v>708</v>
      </c>
    </row>
    <row r="176" spans="1:22" x14ac:dyDescent="0.45">
      <c r="A176" t="s">
        <v>76</v>
      </c>
      <c r="D176" t="s">
        <v>275</v>
      </c>
      <c r="G176" t="s">
        <v>275</v>
      </c>
      <c r="J176" t="s">
        <v>96</v>
      </c>
      <c r="M176" t="s">
        <v>76</v>
      </c>
      <c r="P176" t="s">
        <v>233</v>
      </c>
      <c r="S176" t="s">
        <v>96</v>
      </c>
      <c r="V176" t="s">
        <v>96</v>
      </c>
    </row>
    <row r="177" spans="1:22" x14ac:dyDescent="0.45">
      <c r="A177" t="s">
        <v>147</v>
      </c>
      <c r="D177" t="s">
        <v>309</v>
      </c>
      <c r="G177" t="s">
        <v>147</v>
      </c>
      <c r="J177" t="s">
        <v>147</v>
      </c>
      <c r="M177" t="s">
        <v>147</v>
      </c>
      <c r="P177" t="s">
        <v>147</v>
      </c>
      <c r="S177" t="s">
        <v>710</v>
      </c>
      <c r="V177" t="s">
        <v>710</v>
      </c>
    </row>
    <row r="178" spans="1:22" x14ac:dyDescent="0.45">
      <c r="A178" t="s">
        <v>41</v>
      </c>
      <c r="D178" t="s">
        <v>212</v>
      </c>
      <c r="G178" t="s">
        <v>41</v>
      </c>
      <c r="J178" t="s">
        <v>41</v>
      </c>
      <c r="M178" t="s">
        <v>41</v>
      </c>
      <c r="P178" t="s">
        <v>41</v>
      </c>
      <c r="S178" t="s">
        <v>41</v>
      </c>
      <c r="V178" t="s">
        <v>41</v>
      </c>
    </row>
    <row r="179" spans="1:22" x14ac:dyDescent="0.45">
      <c r="A179" t="s">
        <v>148</v>
      </c>
      <c r="D179" t="s">
        <v>310</v>
      </c>
      <c r="G179" t="s">
        <v>155</v>
      </c>
      <c r="J179" t="s">
        <v>401</v>
      </c>
      <c r="M179" t="s">
        <v>155</v>
      </c>
      <c r="P179" t="s">
        <v>161</v>
      </c>
      <c r="S179" t="s">
        <v>310</v>
      </c>
      <c r="V179" t="s">
        <v>161</v>
      </c>
    </row>
    <row r="180" spans="1:22" x14ac:dyDescent="0.45">
      <c r="A180" t="s">
        <v>149</v>
      </c>
      <c r="D180" t="s">
        <v>311</v>
      </c>
      <c r="G180" t="s">
        <v>588</v>
      </c>
      <c r="J180" t="s">
        <v>402</v>
      </c>
      <c r="M180" t="s">
        <v>320</v>
      </c>
      <c r="P180" t="s">
        <v>311</v>
      </c>
      <c r="S180" t="s">
        <v>311</v>
      </c>
      <c r="V180" t="s">
        <v>149</v>
      </c>
    </row>
    <row r="181" spans="1:22" x14ac:dyDescent="0.45">
      <c r="A181" t="s">
        <v>150</v>
      </c>
      <c r="D181" t="s">
        <v>312</v>
      </c>
      <c r="G181" t="s">
        <v>150</v>
      </c>
      <c r="J181" t="s">
        <v>157</v>
      </c>
      <c r="M181" t="s">
        <v>317</v>
      </c>
      <c r="P181" t="s">
        <v>644</v>
      </c>
      <c r="S181" t="s">
        <v>157</v>
      </c>
      <c r="V181" t="s">
        <v>150</v>
      </c>
    </row>
    <row r="182" spans="1:22" x14ac:dyDescent="0.45">
      <c r="A182" t="s">
        <v>151</v>
      </c>
      <c r="D182" t="s">
        <v>158</v>
      </c>
      <c r="G182" t="s">
        <v>321</v>
      </c>
      <c r="J182" t="s">
        <v>158</v>
      </c>
      <c r="M182" t="s">
        <v>158</v>
      </c>
      <c r="P182" t="s">
        <v>321</v>
      </c>
      <c r="S182" t="s">
        <v>151</v>
      </c>
      <c r="V182" t="s">
        <v>767</v>
      </c>
    </row>
    <row r="183" spans="1:22" x14ac:dyDescent="0.45">
      <c r="A183" t="s">
        <v>152</v>
      </c>
      <c r="D183" t="s">
        <v>152</v>
      </c>
      <c r="G183" t="s">
        <v>322</v>
      </c>
      <c r="J183" t="s">
        <v>164</v>
      </c>
      <c r="M183" t="s">
        <v>519</v>
      </c>
      <c r="P183" t="s">
        <v>164</v>
      </c>
      <c r="S183" t="s">
        <v>322</v>
      </c>
      <c r="V183" t="s">
        <v>164</v>
      </c>
    </row>
    <row r="184" spans="1:22" x14ac:dyDescent="0.45">
      <c r="A184" t="s">
        <v>153</v>
      </c>
      <c r="D184" t="s">
        <v>313</v>
      </c>
      <c r="G184" t="s">
        <v>160</v>
      </c>
      <c r="J184" t="s">
        <v>160</v>
      </c>
      <c r="M184" t="s">
        <v>160</v>
      </c>
      <c r="P184" t="s">
        <v>160</v>
      </c>
      <c r="S184" t="s">
        <v>160</v>
      </c>
      <c r="V184" t="s">
        <v>160</v>
      </c>
    </row>
    <row r="185" spans="1:22" x14ac:dyDescent="0.45">
      <c r="A185" t="s">
        <v>154</v>
      </c>
      <c r="D185" t="s">
        <v>314</v>
      </c>
      <c r="G185" t="s">
        <v>589</v>
      </c>
      <c r="J185" t="s">
        <v>403</v>
      </c>
      <c r="M185" t="s">
        <v>314</v>
      </c>
      <c r="P185" t="s">
        <v>314</v>
      </c>
      <c r="S185" t="s">
        <v>589</v>
      </c>
      <c r="V185" t="s">
        <v>589</v>
      </c>
    </row>
    <row r="186" spans="1:22" x14ac:dyDescent="0.45">
      <c r="A186" t="s">
        <v>47</v>
      </c>
      <c r="D186" t="s">
        <v>216</v>
      </c>
      <c r="G186" t="s">
        <v>47</v>
      </c>
      <c r="J186" t="s">
        <v>47</v>
      </c>
      <c r="M186" t="s">
        <v>47</v>
      </c>
      <c r="P186" t="s">
        <v>47</v>
      </c>
      <c r="S186" t="s">
        <v>47</v>
      </c>
      <c r="V186" t="s">
        <v>47</v>
      </c>
    </row>
    <row r="187" spans="1:22" x14ac:dyDescent="0.45">
      <c r="A187" t="s">
        <v>155</v>
      </c>
      <c r="D187" t="s">
        <v>315</v>
      </c>
      <c r="G187" t="s">
        <v>315</v>
      </c>
      <c r="J187" t="s">
        <v>404</v>
      </c>
      <c r="M187" t="s">
        <v>520</v>
      </c>
      <c r="P187" t="s">
        <v>319</v>
      </c>
      <c r="S187" t="s">
        <v>401</v>
      </c>
      <c r="V187" t="s">
        <v>155</v>
      </c>
    </row>
    <row r="188" spans="1:22" x14ac:dyDescent="0.45">
      <c r="A188" t="s">
        <v>156</v>
      </c>
      <c r="D188" t="s">
        <v>316</v>
      </c>
      <c r="G188" t="s">
        <v>149</v>
      </c>
      <c r="J188" t="s">
        <v>156</v>
      </c>
      <c r="M188" t="s">
        <v>521</v>
      </c>
      <c r="P188" t="s">
        <v>645</v>
      </c>
      <c r="S188" t="s">
        <v>588</v>
      </c>
      <c r="V188" t="s">
        <v>402</v>
      </c>
    </row>
    <row r="189" spans="1:22" x14ac:dyDescent="0.45">
      <c r="A189" t="s">
        <v>157</v>
      </c>
      <c r="D189" t="s">
        <v>317</v>
      </c>
      <c r="G189" t="s">
        <v>526</v>
      </c>
      <c r="J189" t="s">
        <v>157</v>
      </c>
      <c r="M189" t="s">
        <v>522</v>
      </c>
      <c r="P189" t="s">
        <v>646</v>
      </c>
      <c r="S189" t="s">
        <v>526</v>
      </c>
      <c r="V189" t="s">
        <v>526</v>
      </c>
    </row>
    <row r="190" spans="1:22" x14ac:dyDescent="0.45">
      <c r="A190" t="s">
        <v>158</v>
      </c>
      <c r="D190" t="s">
        <v>158</v>
      </c>
      <c r="G190" t="s">
        <v>321</v>
      </c>
      <c r="J190" t="s">
        <v>151</v>
      </c>
      <c r="M190" t="s">
        <v>523</v>
      </c>
      <c r="P190" t="s">
        <v>523</v>
      </c>
      <c r="S190" t="s">
        <v>321</v>
      </c>
      <c r="V190" t="s">
        <v>151</v>
      </c>
    </row>
    <row r="191" spans="1:22" x14ac:dyDescent="0.45">
      <c r="A191" t="s">
        <v>159</v>
      </c>
      <c r="D191" t="s">
        <v>152</v>
      </c>
      <c r="G191" t="s">
        <v>322</v>
      </c>
      <c r="J191" t="s">
        <v>164</v>
      </c>
      <c r="M191" t="s">
        <v>164</v>
      </c>
      <c r="P191" t="s">
        <v>152</v>
      </c>
      <c r="S191" t="s">
        <v>711</v>
      </c>
      <c r="V191" t="s">
        <v>152</v>
      </c>
    </row>
    <row r="192" spans="1:22" x14ac:dyDescent="0.45">
      <c r="A192" t="s">
        <v>160</v>
      </c>
      <c r="D192" t="s">
        <v>318</v>
      </c>
      <c r="G192" t="s">
        <v>318</v>
      </c>
      <c r="J192" t="s">
        <v>318</v>
      </c>
      <c r="M192" t="s">
        <v>524</v>
      </c>
      <c r="P192" t="s">
        <v>647</v>
      </c>
      <c r="S192" t="s">
        <v>712</v>
      </c>
      <c r="V192" t="s">
        <v>649</v>
      </c>
    </row>
    <row r="193" spans="1:22" x14ac:dyDescent="0.45">
      <c r="A193" t="s">
        <v>154</v>
      </c>
      <c r="D193" t="s">
        <v>314</v>
      </c>
      <c r="G193" t="s">
        <v>403</v>
      </c>
      <c r="J193" t="s">
        <v>403</v>
      </c>
      <c r="M193" t="s">
        <v>314</v>
      </c>
      <c r="P193" t="s">
        <v>648</v>
      </c>
      <c r="S193" t="s">
        <v>648</v>
      </c>
      <c r="V193" t="s">
        <v>314</v>
      </c>
    </row>
    <row r="194" spans="1:22" x14ac:dyDescent="0.45">
      <c r="A194" t="s">
        <v>53</v>
      </c>
      <c r="D194" t="s">
        <v>222</v>
      </c>
      <c r="G194" t="s">
        <v>53</v>
      </c>
      <c r="J194" t="s">
        <v>53</v>
      </c>
      <c r="M194" t="s">
        <v>53</v>
      </c>
      <c r="P194" t="s">
        <v>53</v>
      </c>
      <c r="S194" t="s">
        <v>53</v>
      </c>
      <c r="V194" t="s">
        <v>53</v>
      </c>
    </row>
    <row r="195" spans="1:22" x14ac:dyDescent="0.45">
      <c r="A195" t="s">
        <v>161</v>
      </c>
      <c r="D195" t="s">
        <v>319</v>
      </c>
      <c r="G195" t="s">
        <v>319</v>
      </c>
      <c r="J195" t="s">
        <v>155</v>
      </c>
      <c r="M195" t="s">
        <v>525</v>
      </c>
      <c r="P195" t="s">
        <v>310</v>
      </c>
      <c r="S195" t="s">
        <v>155</v>
      </c>
      <c r="V195" t="s">
        <v>148</v>
      </c>
    </row>
    <row r="196" spans="1:22" x14ac:dyDescent="0.45">
      <c r="A196" t="s">
        <v>149</v>
      </c>
      <c r="D196" t="s">
        <v>320</v>
      </c>
      <c r="G196" t="s">
        <v>590</v>
      </c>
      <c r="J196" t="s">
        <v>149</v>
      </c>
      <c r="M196" t="s">
        <v>149</v>
      </c>
      <c r="P196" t="s">
        <v>149</v>
      </c>
      <c r="S196" t="s">
        <v>590</v>
      </c>
      <c r="V196" t="s">
        <v>590</v>
      </c>
    </row>
    <row r="197" spans="1:22" x14ac:dyDescent="0.45">
      <c r="A197" t="s">
        <v>162</v>
      </c>
      <c r="D197" t="s">
        <v>150</v>
      </c>
      <c r="G197" t="s">
        <v>162</v>
      </c>
      <c r="J197" t="s">
        <v>150</v>
      </c>
      <c r="M197" t="s">
        <v>526</v>
      </c>
      <c r="P197" t="s">
        <v>157</v>
      </c>
      <c r="S197" t="s">
        <v>713</v>
      </c>
      <c r="V197" t="s">
        <v>162</v>
      </c>
    </row>
    <row r="198" spans="1:22" x14ac:dyDescent="0.45">
      <c r="A198" t="s">
        <v>163</v>
      </c>
      <c r="D198" t="s">
        <v>321</v>
      </c>
      <c r="G198" t="s">
        <v>151</v>
      </c>
      <c r="J198" t="s">
        <v>151</v>
      </c>
      <c r="M198" t="s">
        <v>527</v>
      </c>
      <c r="P198" t="s">
        <v>523</v>
      </c>
      <c r="S198" t="s">
        <v>158</v>
      </c>
      <c r="V198" t="s">
        <v>767</v>
      </c>
    </row>
    <row r="199" spans="1:22" x14ac:dyDescent="0.45">
      <c r="A199" t="s">
        <v>164</v>
      </c>
      <c r="D199" t="s">
        <v>322</v>
      </c>
      <c r="G199" t="s">
        <v>528</v>
      </c>
      <c r="J199" t="s">
        <v>164</v>
      </c>
      <c r="M199" t="s">
        <v>528</v>
      </c>
      <c r="P199" t="s">
        <v>322</v>
      </c>
      <c r="S199" t="s">
        <v>164</v>
      </c>
      <c r="V199" t="s">
        <v>152</v>
      </c>
    </row>
    <row r="200" spans="1:22" x14ac:dyDescent="0.45">
      <c r="A200" t="s">
        <v>160</v>
      </c>
      <c r="D200" t="s">
        <v>313</v>
      </c>
      <c r="G200" t="s">
        <v>160</v>
      </c>
      <c r="J200" t="s">
        <v>160</v>
      </c>
      <c r="M200" t="s">
        <v>160</v>
      </c>
      <c r="P200" t="s">
        <v>649</v>
      </c>
      <c r="S200" t="s">
        <v>160</v>
      </c>
      <c r="V200" t="s">
        <v>768</v>
      </c>
    </row>
    <row r="201" spans="1:22" x14ac:dyDescent="0.45">
      <c r="A201" t="s">
        <v>154</v>
      </c>
      <c r="D201" t="s">
        <v>314</v>
      </c>
      <c r="G201" t="s">
        <v>589</v>
      </c>
      <c r="J201" t="s">
        <v>403</v>
      </c>
      <c r="M201" t="s">
        <v>314</v>
      </c>
      <c r="P201" t="s">
        <v>589</v>
      </c>
      <c r="S201" t="s">
        <v>589</v>
      </c>
      <c r="V201" t="s">
        <v>314</v>
      </c>
    </row>
    <row r="202" spans="1:22" x14ac:dyDescent="0.45">
      <c r="A202" t="s">
        <v>165</v>
      </c>
      <c r="D202" t="s">
        <v>323</v>
      </c>
      <c r="G202" t="s">
        <v>165</v>
      </c>
      <c r="J202" t="s">
        <v>165</v>
      </c>
      <c r="M202" t="s">
        <v>165</v>
      </c>
      <c r="P202" t="s">
        <v>165</v>
      </c>
      <c r="S202" t="s">
        <v>714</v>
      </c>
      <c r="V202" t="s">
        <v>714</v>
      </c>
    </row>
    <row r="203" spans="1:22" x14ac:dyDescent="0.45">
      <c r="A203" t="s">
        <v>41</v>
      </c>
      <c r="D203" t="s">
        <v>212</v>
      </c>
      <c r="G203" t="s">
        <v>41</v>
      </c>
      <c r="J203" t="s">
        <v>41</v>
      </c>
      <c r="M203" t="s">
        <v>41</v>
      </c>
      <c r="P203" t="s">
        <v>41</v>
      </c>
      <c r="S203" t="s">
        <v>41</v>
      </c>
      <c r="V203" t="s">
        <v>41</v>
      </c>
    </row>
    <row r="204" spans="1:22" x14ac:dyDescent="0.45">
      <c r="A204" t="s">
        <v>166</v>
      </c>
      <c r="D204" t="s">
        <v>324</v>
      </c>
      <c r="G204" t="s">
        <v>591</v>
      </c>
      <c r="J204" t="s">
        <v>405</v>
      </c>
      <c r="M204" t="s">
        <v>529</v>
      </c>
      <c r="P204" t="s">
        <v>650</v>
      </c>
      <c r="S204" t="s">
        <v>650</v>
      </c>
      <c r="V204" t="s">
        <v>769</v>
      </c>
    </row>
    <row r="205" spans="1:22" x14ac:dyDescent="0.45">
      <c r="A205" t="s">
        <v>47</v>
      </c>
      <c r="D205" t="s">
        <v>216</v>
      </c>
      <c r="G205" t="s">
        <v>47</v>
      </c>
      <c r="J205" t="s">
        <v>47</v>
      </c>
      <c r="M205" t="s">
        <v>47</v>
      </c>
      <c r="P205" t="s">
        <v>47</v>
      </c>
      <c r="S205" t="s">
        <v>47</v>
      </c>
      <c r="V205" t="s">
        <v>47</v>
      </c>
    </row>
    <row r="206" spans="1:22" x14ac:dyDescent="0.45">
      <c r="A206" t="s">
        <v>167</v>
      </c>
      <c r="D206" t="s">
        <v>325</v>
      </c>
      <c r="G206" t="s">
        <v>592</v>
      </c>
      <c r="J206" t="s">
        <v>406</v>
      </c>
      <c r="M206" t="s">
        <v>530</v>
      </c>
      <c r="P206" t="s">
        <v>651</v>
      </c>
      <c r="S206" t="s">
        <v>715</v>
      </c>
      <c r="V206" t="s">
        <v>770</v>
      </c>
    </row>
    <row r="207" spans="1:22" x14ac:dyDescent="0.45">
      <c r="A207" t="s">
        <v>53</v>
      </c>
      <c r="D207" t="s">
        <v>222</v>
      </c>
      <c r="G207" t="s">
        <v>53</v>
      </c>
      <c r="J207" t="s">
        <v>53</v>
      </c>
      <c r="M207" t="s">
        <v>53</v>
      </c>
      <c r="P207" t="s">
        <v>53</v>
      </c>
      <c r="S207" t="s">
        <v>53</v>
      </c>
      <c r="V207" t="s">
        <v>53</v>
      </c>
    </row>
    <row r="208" spans="1:22" x14ac:dyDescent="0.45">
      <c r="A208" t="s">
        <v>168</v>
      </c>
      <c r="D208" t="s">
        <v>326</v>
      </c>
      <c r="G208" t="s">
        <v>593</v>
      </c>
      <c r="J208" t="s">
        <v>407</v>
      </c>
      <c r="M208" t="s">
        <v>531</v>
      </c>
      <c r="P208" t="s">
        <v>652</v>
      </c>
      <c r="S208" t="s">
        <v>716</v>
      </c>
      <c r="V208" t="s">
        <v>771</v>
      </c>
    </row>
    <row r="209" spans="1:22" x14ac:dyDescent="0.45">
      <c r="A209" t="s">
        <v>169</v>
      </c>
      <c r="D209" t="s">
        <v>327</v>
      </c>
      <c r="G209" t="s">
        <v>169</v>
      </c>
      <c r="J209" t="s">
        <v>169</v>
      </c>
      <c r="M209" t="s">
        <v>169</v>
      </c>
      <c r="P209" t="s">
        <v>169</v>
      </c>
      <c r="S209" t="s">
        <v>717</v>
      </c>
      <c r="V209" t="s">
        <v>717</v>
      </c>
    </row>
    <row r="210" spans="1:22" x14ac:dyDescent="0.45">
      <c r="A210" t="s">
        <v>170</v>
      </c>
      <c r="D210" t="s">
        <v>328</v>
      </c>
      <c r="G210" t="s">
        <v>594</v>
      </c>
      <c r="J210" t="s">
        <v>408</v>
      </c>
      <c r="M210" t="s">
        <v>532</v>
      </c>
      <c r="P210" t="s">
        <v>328</v>
      </c>
      <c r="S210" t="s">
        <v>718</v>
      </c>
      <c r="V210" t="s">
        <v>772</v>
      </c>
    </row>
    <row r="211" spans="1:22" x14ac:dyDescent="0.45">
      <c r="A211" t="s">
        <v>171</v>
      </c>
      <c r="D211" t="s">
        <v>329</v>
      </c>
      <c r="G211" t="s">
        <v>595</v>
      </c>
      <c r="J211" t="s">
        <v>409</v>
      </c>
      <c r="M211" t="s">
        <v>533</v>
      </c>
      <c r="P211" t="s">
        <v>653</v>
      </c>
      <c r="S211" t="s">
        <v>719</v>
      </c>
      <c r="V211" t="s">
        <v>773</v>
      </c>
    </row>
    <row r="212" spans="1:22" x14ac:dyDescent="0.45">
      <c r="A212" t="s">
        <v>172</v>
      </c>
      <c r="D212" t="s">
        <v>330</v>
      </c>
      <c r="G212" t="s">
        <v>596</v>
      </c>
      <c r="J212" t="s">
        <v>410</v>
      </c>
      <c r="M212" t="s">
        <v>534</v>
      </c>
      <c r="P212" t="s">
        <v>654</v>
      </c>
      <c r="S212" t="s">
        <v>720</v>
      </c>
      <c r="V212" t="s">
        <v>774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2670-083C-4E16-825F-93D9FE317CED}">
  <dimension ref="A1:AX212"/>
  <sheetViews>
    <sheetView topLeftCell="AJ1" workbookViewId="0">
      <selection activeCell="AW2" sqref="AW2:AX212"/>
    </sheetView>
  </sheetViews>
  <sheetFormatPr defaultRowHeight="14.25" x14ac:dyDescent="0.45"/>
  <cols>
    <col min="1" max="1" width="59.796875" customWidth="1"/>
    <col min="2" max="2" width="13.3984375" customWidth="1"/>
    <col min="3" max="3" width="14.6640625" customWidth="1"/>
    <col min="4" max="4" width="67.53125" customWidth="1"/>
    <col min="7" max="7" width="65.9296875" customWidth="1"/>
    <col min="10" max="10" width="44.3984375" customWidth="1"/>
    <col min="13" max="13" width="46.86328125" customWidth="1"/>
    <col min="16" max="16" width="53.46484375" customWidth="1"/>
    <col min="19" max="19" width="56.19921875" customWidth="1"/>
    <col min="22" max="22" width="47.59765625" customWidth="1"/>
    <col min="25" max="25" width="26.6640625" customWidth="1"/>
    <col min="28" max="28" width="28.33203125" customWidth="1"/>
    <col min="29" max="29" width="29.3984375" customWidth="1"/>
    <col min="30" max="30" width="27.53125" customWidth="1"/>
    <col min="32" max="32" width="45.796875" customWidth="1"/>
    <col min="36" max="36" width="30.9296875" customWidth="1"/>
    <col min="39" max="39" width="36.73046875" customWidth="1"/>
    <col min="42" max="42" width="28.86328125" customWidth="1"/>
    <col min="45" max="45" width="28.796875" customWidth="1"/>
    <col min="48" max="48" width="95.59765625" bestFit="1" customWidth="1"/>
  </cols>
  <sheetData>
    <row r="1" spans="1:50" ht="28.5" x14ac:dyDescent="0.45">
      <c r="A1" s="2" t="s">
        <v>173</v>
      </c>
      <c r="B1" s="1"/>
      <c r="C1" s="2"/>
      <c r="D1" s="2" t="s">
        <v>174</v>
      </c>
      <c r="G1" t="s">
        <v>597</v>
      </c>
      <c r="J1" s="2" t="s">
        <v>411</v>
      </c>
      <c r="M1" s="3" t="s">
        <v>412</v>
      </c>
      <c r="P1" s="4" t="s">
        <v>655</v>
      </c>
      <c r="S1" s="5" t="s">
        <v>656</v>
      </c>
      <c r="V1" t="s">
        <v>721</v>
      </c>
      <c r="Y1" s="5" t="s">
        <v>775</v>
      </c>
      <c r="AB1" t="s">
        <v>805</v>
      </c>
      <c r="AF1" s="5" t="s">
        <v>838</v>
      </c>
      <c r="AI1" t="s">
        <v>918</v>
      </c>
      <c r="AM1" s="5" t="s">
        <v>919</v>
      </c>
      <c r="AP1" s="4" t="s">
        <v>972</v>
      </c>
      <c r="AS1" s="4" t="s">
        <v>1037</v>
      </c>
      <c r="AV1" t="s">
        <v>1078</v>
      </c>
    </row>
    <row r="2" spans="1:50" x14ac:dyDescent="0.45">
      <c r="A2" t="s">
        <v>0</v>
      </c>
      <c r="B2" t="str">
        <f>IF(AND(LEFT(A2,1)="|",RIGHT(A2,1)="|",LEN(A2)-LEN(SUBSTITUTE(A2,"|",""))=3,LEN(TRIM(_xlfn.TEXTBEFORE(_xlfn.TEXTAFTER(A2,"|"),"|")))&gt;0,LEN(TRIM(_xlfn.TEXTBEFORE(_xlfn.TEXTAFTER(A2,"|",2),"|")))&gt;0),_xlfn.TEXTBEFORE(_xlfn.TEXTAFTER(A2,"|"),"|"),"")</f>
        <v xml:space="preserve"> Questions and answer </v>
      </c>
      <c r="C2" t="str">
        <f>IF(AND(LEFT(A2,1)="|",RIGHT(A2,1)="|",LEN(A2)-LEN(SUBSTITUTE(A2,"|",""))=3,LEN(TRIM(_xlfn.TEXTBEFORE(_xlfn.TEXTAFTER(A2,"|"),"|")))&gt;0,LEN(TRIM(_xlfn.TEXTBEFORE(_xlfn.TEXTAFTER(A2,"|",2),"|")))&gt;0),_xlfn.TEXTBEFORE(_xlfn.TEXTAFTER(A2,"|",2),"|"),"")</f>
        <v xml:space="preserve"> Percentage / Value </v>
      </c>
      <c r="D2" t="s">
        <v>0</v>
      </c>
      <c r="E2" t="str">
        <f>IF(AND(LEFT(D2,1)="|",RIGHT(D2,1)="|",LEN(D2)-LEN(SUBSTITUTE(D2,"|",""))=3,LEN(TRIM(_xlfn.TEXTBEFORE(_xlfn.TEXTAFTER(D2,"|"),"|")))&gt;0,LEN(TRIM(_xlfn.TEXTBEFORE(_xlfn.TEXTAFTER(D2,"|",2),"|")))&gt;0),_xlfn.TEXTBEFORE(_xlfn.TEXTAFTER(D2,"|"),"|"),"")</f>
        <v xml:space="preserve"> Questions and answer </v>
      </c>
      <c r="F2" t="str">
        <f>IF(AND(LEFT(D2,1)="|",RIGHT(D2,1)="|",LEN(D2)-LEN(SUBSTITUTE(D2,"|",""))=3,LEN(TRIM(_xlfn.TEXTBEFORE(_xlfn.TEXTAFTER(D2,"|"),"|")))&gt;0,LEN(TRIM(_xlfn.TEXTBEFORE(_xlfn.TEXTAFTER(D2,"|",2),"|")))&gt;0),_xlfn.TEXTBEFORE(_xlfn.TEXTAFTER(D2,"|",2),"|"),"")</f>
        <v xml:space="preserve"> Percentage / Value </v>
      </c>
      <c r="G2" t="s">
        <v>0</v>
      </c>
      <c r="H2" t="str">
        <f>IF(AND(LEFT(G2,1)="|",RIGHT(G2,1)="|",LEN(G2)-LEN(SUBSTITUTE(G2,"|",""))=3,LEN(TRIM(_xlfn.TEXTBEFORE(_xlfn.TEXTAFTER(G2,"|"),"|")))&gt;0,LEN(TRIM(_xlfn.TEXTBEFORE(_xlfn.TEXTAFTER(G2,"|",2),"|")))&gt;0),_xlfn.TEXTBEFORE(_xlfn.TEXTAFTER(G2,"|"),"|"),"")</f>
        <v xml:space="preserve"> Questions and answer </v>
      </c>
      <c r="I2" t="str">
        <f>IF(AND(LEFT(G2,1)="|",RIGHT(G2,1)="|",LEN(G2)-LEN(SUBSTITUTE(G2,"|",""))=3,LEN(TRIM(_xlfn.TEXTBEFORE(_xlfn.TEXTAFTER(G2,"|"),"|")))&gt;0,LEN(TRIM(_xlfn.TEXTBEFORE(_xlfn.TEXTAFTER(G2,"|",2),"|")))&gt;0),_xlfn.TEXTBEFORE(_xlfn.TEXTAFTER(G2,"|",2),"|"),"")</f>
        <v xml:space="preserve"> Percentage / Value </v>
      </c>
      <c r="J2" t="s">
        <v>0</v>
      </c>
      <c r="K2" t="str">
        <f>IF(AND(LEFT(J2,1)="|",RIGHT(J2,1)="|",LEN(J2)-LEN(SUBSTITUTE(J2,"|",""))=3,LEN(TRIM(_xlfn.TEXTBEFORE(_xlfn.TEXTAFTER(J2,"|"),"|")))&gt;0,LEN(TRIM(_xlfn.TEXTBEFORE(_xlfn.TEXTAFTER(J2,"|",2),"|")))&gt;0),_xlfn.TEXTBEFORE(_xlfn.TEXTAFTER(J2,"|"),"|"),"")</f>
        <v xml:space="preserve"> Questions and answer </v>
      </c>
      <c r="L2" t="str">
        <f>IF(AND(LEFT(J2,1)="|",RIGHT(J2,1)="|",LEN(J2)-LEN(SUBSTITUTE(J2,"|",""))=3,LEN(TRIM(_xlfn.TEXTBEFORE(_xlfn.TEXTAFTER(J2,"|"),"|")))&gt;0,LEN(TRIM(_xlfn.TEXTBEFORE(_xlfn.TEXTAFTER(J2,"|",2),"|")))&gt;0),_xlfn.TEXTBEFORE(_xlfn.TEXTAFTER(J2,"|",2),"|"),"")</f>
        <v xml:space="preserve"> Percentage / Value </v>
      </c>
      <c r="M2" t="s">
        <v>0</v>
      </c>
      <c r="N2" t="str">
        <f>IF(AND(LEFT(M2,1)="|",RIGHT(M2,1)="|",LEN(M2)-LEN(SUBSTITUTE(M2,"|",""))=3,LEN(TRIM(_xlfn.TEXTBEFORE(_xlfn.TEXTAFTER(M2,"|"),"|")))&gt;0,LEN(TRIM(_xlfn.TEXTBEFORE(_xlfn.TEXTAFTER(M2,"|",2),"|")))&gt;0),_xlfn.TEXTBEFORE(_xlfn.TEXTAFTER(M2,"|"),"|"),"")</f>
        <v xml:space="preserve"> Questions and answer </v>
      </c>
      <c r="O2" t="str">
        <f>IF(AND(LEFT(M2,1)="|",RIGHT(M2,1)="|",LEN(M2)-LEN(SUBSTITUTE(M2,"|",""))=3,LEN(TRIM(_xlfn.TEXTBEFORE(_xlfn.TEXTAFTER(M2,"|"),"|")))&gt;0,LEN(TRIM(_xlfn.TEXTBEFORE(_xlfn.TEXTAFTER(M2,"|",2),"|")))&gt;0),_xlfn.TEXTBEFORE(_xlfn.TEXTAFTER(M2,"|",2),"|"),"")</f>
        <v xml:space="preserve"> Percentage / Value </v>
      </c>
      <c r="P2" t="s">
        <v>0</v>
      </c>
      <c r="Q2" t="str">
        <f>IF(AND(LEFT(P2,1)="|",RIGHT(P2,1)="|",LEN(P2)-LEN(SUBSTITUTE(P2,"|",""))=3,LEN(TRIM(_xlfn.TEXTBEFORE(_xlfn.TEXTAFTER(P2,"|"),"|")))&gt;0,LEN(TRIM(_xlfn.TEXTBEFORE(_xlfn.TEXTAFTER(P2,"|",2),"|")))&gt;0),_xlfn.TEXTBEFORE(_xlfn.TEXTAFTER(P2,"|"),"|"),"")</f>
        <v xml:space="preserve"> Questions and answer </v>
      </c>
      <c r="R2" t="str">
        <f>IF(AND(LEFT(P2,1)="|",RIGHT(P2,1)="|",LEN(P2)-LEN(SUBSTITUTE(P2,"|",""))=3,LEN(TRIM(_xlfn.TEXTBEFORE(_xlfn.TEXTAFTER(P2,"|"),"|")))&gt;0,LEN(TRIM(_xlfn.TEXTBEFORE(_xlfn.TEXTAFTER(P2,"|",2),"|")))&gt;0),_xlfn.TEXTBEFORE(_xlfn.TEXTAFTER(P2,"|",2),"|"),"")</f>
        <v xml:space="preserve"> Percentage / Value </v>
      </c>
      <c r="S2" t="s">
        <v>0</v>
      </c>
      <c r="T2" t="str">
        <f>IF(AND(LEFT(S2,1)="|",RIGHT(S2,1)="|",LEN(S2)-LEN(SUBSTITUTE(S2,"|",""))=3,LEN(TRIM(_xlfn.TEXTBEFORE(_xlfn.TEXTAFTER(S2,"|"),"|")))&gt;0,LEN(TRIM(_xlfn.TEXTBEFORE(_xlfn.TEXTAFTER(S2,"|",2),"|")))&gt;0),_xlfn.TEXTBEFORE(_xlfn.TEXTAFTER(S2,"|"),"|"),"")</f>
        <v xml:space="preserve"> Questions and answer </v>
      </c>
      <c r="U2" t="str">
        <f>IF(AND(LEFT(S2,1)="|",RIGHT(S2,1)="|",LEN(S2)-LEN(SUBSTITUTE(S2,"|",""))=3,LEN(TRIM(_xlfn.TEXTBEFORE(_xlfn.TEXTAFTER(S2,"|"),"|")))&gt;0,LEN(TRIM(_xlfn.TEXTBEFORE(_xlfn.TEXTAFTER(S2,"|",2),"|")))&gt;0),_xlfn.TEXTBEFORE(_xlfn.TEXTAFTER(S2,"|",2),"|"),"")</f>
        <v xml:space="preserve"> Percentage / Value </v>
      </c>
      <c r="V2" t="s">
        <v>0</v>
      </c>
      <c r="W2" t="str">
        <f>IF(AND(LEFT(V2,1)="|",RIGHT(V2,1)="|",LEN(V2)-LEN(SUBSTITUTE(V2,"|",""))=3,LEN(TRIM(_xlfn.TEXTBEFORE(_xlfn.TEXTAFTER(V2,"|"),"|")))&gt;0,LEN(TRIM(_xlfn.TEXTBEFORE(_xlfn.TEXTAFTER(V2,"|",2),"|")))&gt;0),_xlfn.TEXTBEFORE(_xlfn.TEXTAFTER(V2,"|"),"|"),"")</f>
        <v xml:space="preserve"> Questions and answer </v>
      </c>
      <c r="X2" t="str">
        <f>IF(AND(LEFT(V2,1)="|",RIGHT(V2,1)="|",LEN(V2)-LEN(SUBSTITUTE(V2,"|",""))=3,LEN(TRIM(_xlfn.TEXTBEFORE(_xlfn.TEXTAFTER(V2,"|"),"|")))&gt;0,LEN(TRIM(_xlfn.TEXTBEFORE(_xlfn.TEXTAFTER(V2,"|",2),"|")))&gt;0),_xlfn.TEXTBEFORE(_xlfn.TEXTAFTER(V2,"|",2),"|"),"")</f>
        <v xml:space="preserve"> Percentage / Value </v>
      </c>
      <c r="Y2" t="s">
        <v>0</v>
      </c>
      <c r="Z2" t="str">
        <f>IF(AND(LEFT(Y2,1)="|",RIGHT(Y2,1)="|",LEN(Y2)-LEN(SUBSTITUTE(Y2,"|",""))=3,LEN(TRIM(_xlfn.TEXTBEFORE(_xlfn.TEXTAFTER(Y2,"|"),"|")))&gt;0,LEN(TRIM(_xlfn.TEXTBEFORE(_xlfn.TEXTAFTER(Y2,"|",2),"|")))&gt;0),_xlfn.TEXTBEFORE(_xlfn.TEXTAFTER(Y2,"|"),"|"),"")</f>
        <v xml:space="preserve"> Questions and answer </v>
      </c>
      <c r="AA2" t="str">
        <f>IF(AND(LEFT(Y2,1)="|",RIGHT(Y2,1)="|",LEN(Y2)-LEN(SUBSTITUTE(Y2,"|",""))=3,LEN(TRIM(_xlfn.TEXTBEFORE(_xlfn.TEXTAFTER(Y2,"|"),"|")))&gt;0,LEN(TRIM(_xlfn.TEXTBEFORE(_xlfn.TEXTAFTER(Y2,"|",2),"|")))&gt;0),_xlfn.TEXTBEFORE(_xlfn.TEXTAFTER(Y2,"|",2),"|"),"")</f>
        <v xml:space="preserve"> Percentage / Value </v>
      </c>
      <c r="AB2" t="s">
        <v>0</v>
      </c>
      <c r="AC2" t="str">
        <f>IF(AND(LEFT(AB2,1)="|",RIGHT(AB2,1)="|",LEN(AB2)-LEN(SUBSTITUTE(AB2,"|",""))=3,LEN(TRIM(_xlfn.TEXTBEFORE(_xlfn.TEXTAFTER(AB2,"|"),"|")))&gt;0,LEN(TRIM(_xlfn.TEXTBEFORE(_xlfn.TEXTAFTER(AB2,"|",2),"|")))&gt;0),_xlfn.TEXTBEFORE(_xlfn.TEXTAFTER(AB2,"|"),"|"),"")</f>
        <v xml:space="preserve"> Questions and answer </v>
      </c>
      <c r="AD2" t="str">
        <f>IF(AND(LEFT(AB2,1)="|",RIGHT(AB2,1)="|",LEN(AB2)-LEN(SUBSTITUTE(AB2,"|",""))=3,LEN(TRIM(_xlfn.TEXTBEFORE(_xlfn.TEXTAFTER(AB2,"|"),"|")))&gt;0,LEN(TRIM(_xlfn.TEXTBEFORE(_xlfn.TEXTAFTER(AB2,"|",2),"|")))&gt;0),_xlfn.TEXTBEFORE(_xlfn.TEXTAFTER(AB2,"|",2),"|"),"")</f>
        <v xml:space="preserve"> Percentage / Value </v>
      </c>
      <c r="AF2" t="s">
        <v>0</v>
      </c>
      <c r="AG2" t="str">
        <f>IF(AND(LEFT(AF2,1)="|",RIGHT(AF2,1)="|",LEN(AF2)-LEN(SUBSTITUTE(AF2,"|",""))=3,LEN(TRIM(_xlfn.TEXTBEFORE(_xlfn.TEXTAFTER(AF2,"|"),"|")))&gt;0,LEN(TRIM(_xlfn.TEXTBEFORE(_xlfn.TEXTAFTER(AF2,"|",2),"|")))&gt;0),_xlfn.TEXTBEFORE(_xlfn.TEXTAFTER(AF2,"|"),"|"),"")</f>
        <v xml:space="preserve"> Questions and answer </v>
      </c>
      <c r="AH2" t="str">
        <f>IF(AND(LEFT(AF2,1)="|",RIGHT(AF2,1)="|",LEN(AF2)-LEN(SUBSTITUTE(AF2,"|",""))=3,LEN(TRIM(_xlfn.TEXTBEFORE(_xlfn.TEXTAFTER(AF2,"|"),"|")))&gt;0,LEN(TRIM(_xlfn.TEXTBEFORE(_xlfn.TEXTAFTER(AF2,"|",2),"|")))&gt;0),_xlfn.TEXTBEFORE(_xlfn.TEXTAFTER(AF2,"|",2),"|"),"")</f>
        <v xml:space="preserve"> Percentage / Value </v>
      </c>
      <c r="AI2" t="s">
        <v>0</v>
      </c>
      <c r="AK2" t="str">
        <f>IF(AND(LEFT(AI2,1)="|",RIGHT(AI2,1)="|",LEN(AI2)-LEN(SUBSTITUTE(AI2,"|",""))=3,LEN(TRIM(_xlfn.TEXTBEFORE(_xlfn.TEXTAFTER(AI2,"|"),"|")))&gt;0,LEN(TRIM(_xlfn.TEXTBEFORE(_xlfn.TEXTAFTER(AI2,"|",2),"|")))&gt;0),_xlfn.TEXTBEFORE(_xlfn.TEXTAFTER(AI2,"|"),"|"),"")</f>
        <v xml:space="preserve"> Questions and answer </v>
      </c>
      <c r="AL2" t="str">
        <f>IF(AND(LEFT(AI2,1)="|",RIGHT(AI2,1)="|",LEN(AI2)-LEN(SUBSTITUTE(AI2,"|",""))=3,LEN(TRIM(_xlfn.TEXTBEFORE(_xlfn.TEXTAFTER(AI2,"|"),"|")))&gt;0,LEN(TRIM(_xlfn.TEXTBEFORE(_xlfn.TEXTAFTER(AI2,"|",2),"|")))&gt;0),_xlfn.TEXTBEFORE(_xlfn.TEXTAFTER(AI2,"|",2),"|"),"")</f>
        <v xml:space="preserve"> Percentage / Value </v>
      </c>
      <c r="AM2" t="s">
        <v>0</v>
      </c>
      <c r="AN2" t="s">
        <v>0</v>
      </c>
      <c r="AO2" t="str">
        <f>IF(AND(LEFT(AM2,1)="|",RIGHT(AM2,1)="|",LEN(AM2)-LEN(SUBSTITUTE(AM2,"|",""))=3,LEN(TRIM(_xlfn.TEXTBEFORE(_xlfn.TEXTAFTER(AM2,"|"),"|")))&gt;0,LEN(TRIM(_xlfn.TEXTBEFORE(_xlfn.TEXTAFTER(AM2,"|",2),"|")))&gt;0),_xlfn.TEXTBEFORE(_xlfn.TEXTAFTER(AM2,"|",2),"|"),"")</f>
        <v xml:space="preserve"> Percentage / Value </v>
      </c>
      <c r="AP2" t="s">
        <v>0</v>
      </c>
      <c r="AQ2" t="str">
        <f>IF(AND(LEFT(AP2,1)="|",RIGHT(AP2,1)="|",LEN(AP2)-LEN(SUBSTITUTE(AP2,"|",""))=3,LEN(TRIM(_xlfn.TEXTBEFORE(_xlfn.TEXTAFTER(AP2,"|"),"|")))&gt;0,LEN(TRIM(_xlfn.TEXTBEFORE(_xlfn.TEXTAFTER(AP2,"|",2),"|")))&gt;0),_xlfn.TEXTBEFORE(_xlfn.TEXTAFTER(AP2,"|"),"|"),"")</f>
        <v xml:space="preserve"> Questions and answer </v>
      </c>
      <c r="AR2" t="str">
        <f>IF(AND(LEFT(AP2,1)="|",RIGHT(AP2,1)="|",LEN(AP2)-LEN(SUBSTITUTE(AP2,"|",""))=3,LEN(TRIM(_xlfn.TEXTBEFORE(_xlfn.TEXTAFTER(AP2,"|"),"|")))&gt;0,LEN(TRIM(_xlfn.TEXTBEFORE(_xlfn.TEXTAFTER(AP2,"|",2),"|")))&gt;0),_xlfn.TEXTBEFORE(_xlfn.TEXTAFTER(AP2,"|",2),"|"),"")</f>
        <v xml:space="preserve"> Percentage / Value </v>
      </c>
      <c r="AS2" t="s">
        <v>0</v>
      </c>
      <c r="AT2" t="str">
        <f>IF(AND(LEFT(AS2,1)="|",RIGHT(AS2,1)="|",LEN(AS2)-LEN(SUBSTITUTE(AS2,"|",""))=3,LEN(TRIM(_xlfn.TEXTBEFORE(_xlfn.TEXTAFTER(AS2,"|"),"|")))&gt;0,LEN(TRIM(_xlfn.TEXTBEFORE(_xlfn.TEXTAFTER(AS2,"|",2),"|")))&gt;0),_xlfn.TEXTBEFORE(_xlfn.TEXTAFTER(AS2,"|"),"|"),"")</f>
        <v xml:space="preserve"> Questions and answer </v>
      </c>
      <c r="AU2" t="str">
        <f>IF(AND(LEFT(AS2,1)="|",RIGHT(AS2,1)="|",LEN(AS2)-LEN(SUBSTITUTE(AS2,"|",""))=3,LEN(TRIM(_xlfn.TEXTBEFORE(_xlfn.TEXTAFTER(AS2,"|"),"|")))&gt;0,LEN(TRIM(_xlfn.TEXTBEFORE(_xlfn.TEXTAFTER(AS2,"|",2),"|")))&gt;0),_xlfn.TEXTBEFORE(_xlfn.TEXTAFTER(AS2,"|",2),"|"),"")</f>
        <v xml:space="preserve"> Percentage / Value </v>
      </c>
      <c r="AV2" t="s">
        <v>0</v>
      </c>
      <c r="AW2" t="str">
        <f>IF(AND(LEFT(AV2,1)="|",RIGHT(AV2,1)="|",LEN(AV2)-LEN(SUBSTITUTE(AV2,"|",""))=3,LEN(TRIM(_xlfn.TEXTBEFORE(_xlfn.TEXTAFTER(AV2,"|"),"|")))&gt;0,LEN(TRIM(_xlfn.TEXTBEFORE(_xlfn.TEXTAFTER(AV2,"|",2),"|")))&gt;0),_xlfn.TEXTBEFORE(_xlfn.TEXTAFTER(AV2,"|"),"|"),"")</f>
        <v xml:space="preserve"> Questions and answer </v>
      </c>
      <c r="AX2" t="str">
        <f>IF(AND(LEFT(AV2,1)="|",RIGHT(AV2,1)="|",LEN(AV2)-LEN(SUBSTITUTE(AV2,"|",""))=3,LEN(TRIM(_xlfn.TEXTBEFORE(_xlfn.TEXTAFTER(AV2,"|"),"|")))&gt;0,LEN(TRIM(_xlfn.TEXTBEFORE(_xlfn.TEXTAFTER(AV2,"|",2),"|")))&gt;0),_xlfn.TEXTBEFORE(_xlfn.TEXTAFTER(AV2,"|",2),"|"),"")</f>
        <v xml:space="preserve"> Percentage / Value </v>
      </c>
    </row>
    <row r="3" spans="1:50" x14ac:dyDescent="0.45">
      <c r="A3" t="s">
        <v>1</v>
      </c>
      <c r="B3" t="str">
        <f t="shared" ref="B3:B66" si="0">IF(AND(LEFT(A3,1)="|",RIGHT(A3,1)="|",LEN(A3)-LEN(SUBSTITUTE(A3,"|",""))=3,LEN(TRIM(_xlfn.TEXTBEFORE(_xlfn.TEXTAFTER(A3,"|"),"|")))&gt;0,LEN(TRIM(_xlfn.TEXTBEFORE(_xlfn.TEXTAFTER(A3,"|",2),"|")))&gt;0),_xlfn.TEXTBEFORE(_xlfn.TEXTAFTER(A3,"|"),"|"),"")</f>
        <v>---</v>
      </c>
      <c r="C3" t="str">
        <f t="shared" ref="C3:C66" si="1">IF(AND(LEFT(A3,1)="|",RIGHT(A3,1)="|",LEN(A3)-LEN(SUBSTITUTE(A3,"|",""))=3,LEN(TRIM(_xlfn.TEXTBEFORE(_xlfn.TEXTAFTER(A3,"|"),"|")))&gt;0,LEN(TRIM(_xlfn.TEXTBEFORE(_xlfn.TEXTAFTER(A3,"|",2),"|")))&gt;0),_xlfn.TEXTBEFORE(_xlfn.TEXTAFTER(A3,"|",2),"|"),"")</f>
        <v>---:</v>
      </c>
      <c r="D3" t="s">
        <v>1</v>
      </c>
      <c r="E3" t="str">
        <f t="shared" ref="E3:E66" si="2">IF(AND(LEFT(D3,1)="|",RIGHT(D3,1)="|",LEN(D3)-LEN(SUBSTITUTE(D3,"|",""))=3,LEN(TRIM(_xlfn.TEXTBEFORE(_xlfn.TEXTAFTER(D3,"|"),"|")))&gt;0,LEN(TRIM(_xlfn.TEXTBEFORE(_xlfn.TEXTAFTER(D3,"|",2),"|")))&gt;0),_xlfn.TEXTBEFORE(_xlfn.TEXTAFTER(D3,"|"),"|"),"")</f>
        <v>---</v>
      </c>
      <c r="F3" t="str">
        <f t="shared" ref="F3:F66" si="3">IF(AND(LEFT(D3,1)="|",RIGHT(D3,1)="|",LEN(D3)-LEN(SUBSTITUTE(D3,"|",""))=3,LEN(TRIM(_xlfn.TEXTBEFORE(_xlfn.TEXTAFTER(D3,"|"),"|")))&gt;0,LEN(TRIM(_xlfn.TEXTBEFORE(_xlfn.TEXTAFTER(D3,"|",2),"|")))&gt;0),_xlfn.TEXTBEFORE(_xlfn.TEXTAFTER(D3,"|",2),"|"),"")</f>
        <v>---:</v>
      </c>
      <c r="G3" t="s">
        <v>1</v>
      </c>
      <c r="H3" t="str">
        <f t="shared" ref="H3:H66" si="4">IF(AND(LEFT(G3,1)="|",RIGHT(G3,1)="|",LEN(G3)-LEN(SUBSTITUTE(G3,"|",""))=3,LEN(TRIM(_xlfn.TEXTBEFORE(_xlfn.TEXTAFTER(G3,"|"),"|")))&gt;0,LEN(TRIM(_xlfn.TEXTBEFORE(_xlfn.TEXTAFTER(G3,"|",2),"|")))&gt;0),_xlfn.TEXTBEFORE(_xlfn.TEXTAFTER(G3,"|"),"|"),"")</f>
        <v>---</v>
      </c>
      <c r="I3" t="str">
        <f t="shared" ref="I3:I66" si="5">IF(AND(LEFT(G3,1)="|",RIGHT(G3,1)="|",LEN(G3)-LEN(SUBSTITUTE(G3,"|",""))=3,LEN(TRIM(_xlfn.TEXTBEFORE(_xlfn.TEXTAFTER(G3,"|"),"|")))&gt;0,LEN(TRIM(_xlfn.TEXTBEFORE(_xlfn.TEXTAFTER(G3,"|",2),"|")))&gt;0),_xlfn.TEXTBEFORE(_xlfn.TEXTAFTER(G3,"|",2),"|"),"")</f>
        <v>---:</v>
      </c>
      <c r="J3" t="s">
        <v>1</v>
      </c>
      <c r="K3" t="str">
        <f t="shared" ref="K3:K66" si="6">IF(AND(LEFT(J3,1)="|",RIGHT(J3,1)="|",LEN(J3)-LEN(SUBSTITUTE(J3,"|",""))=3,LEN(TRIM(_xlfn.TEXTBEFORE(_xlfn.TEXTAFTER(J3,"|"),"|")))&gt;0,LEN(TRIM(_xlfn.TEXTBEFORE(_xlfn.TEXTAFTER(J3,"|",2),"|")))&gt;0),_xlfn.TEXTBEFORE(_xlfn.TEXTAFTER(J3,"|"),"|"),"")</f>
        <v>---</v>
      </c>
      <c r="L3" t="str">
        <f t="shared" ref="L3:L66" si="7">IF(AND(LEFT(J3,1)="|",RIGHT(J3,1)="|",LEN(J3)-LEN(SUBSTITUTE(J3,"|",""))=3,LEN(TRIM(_xlfn.TEXTBEFORE(_xlfn.TEXTAFTER(J3,"|"),"|")))&gt;0,LEN(TRIM(_xlfn.TEXTBEFORE(_xlfn.TEXTAFTER(J3,"|",2),"|")))&gt;0),_xlfn.TEXTBEFORE(_xlfn.TEXTAFTER(J3,"|",2),"|"),"")</f>
        <v>---:</v>
      </c>
      <c r="M3" t="s">
        <v>1</v>
      </c>
      <c r="N3" t="str">
        <f t="shared" ref="N3:N66" si="8">IF(AND(LEFT(M3,1)="|",RIGHT(M3,1)="|",LEN(M3)-LEN(SUBSTITUTE(M3,"|",""))=3,LEN(TRIM(_xlfn.TEXTBEFORE(_xlfn.TEXTAFTER(M3,"|"),"|")))&gt;0,LEN(TRIM(_xlfn.TEXTBEFORE(_xlfn.TEXTAFTER(M3,"|",2),"|")))&gt;0),_xlfn.TEXTBEFORE(_xlfn.TEXTAFTER(M3,"|"),"|"),"")</f>
        <v>---</v>
      </c>
      <c r="O3" t="str">
        <f t="shared" ref="O3:O66" si="9">IF(AND(LEFT(M3,1)="|",RIGHT(M3,1)="|",LEN(M3)-LEN(SUBSTITUTE(M3,"|",""))=3,LEN(TRIM(_xlfn.TEXTBEFORE(_xlfn.TEXTAFTER(M3,"|"),"|")))&gt;0,LEN(TRIM(_xlfn.TEXTBEFORE(_xlfn.TEXTAFTER(M3,"|",2),"|")))&gt;0),_xlfn.TEXTBEFORE(_xlfn.TEXTAFTER(M3,"|",2),"|"),"")</f>
        <v>---:</v>
      </c>
      <c r="P3" t="s">
        <v>1</v>
      </c>
      <c r="Q3" t="str">
        <f t="shared" ref="Q3:Q66" si="10">IF(AND(LEFT(P3,1)="|",RIGHT(P3,1)="|",LEN(P3)-LEN(SUBSTITUTE(P3,"|",""))=3,LEN(TRIM(_xlfn.TEXTBEFORE(_xlfn.TEXTAFTER(P3,"|"),"|")))&gt;0,LEN(TRIM(_xlfn.TEXTBEFORE(_xlfn.TEXTAFTER(P3,"|",2),"|")))&gt;0),_xlfn.TEXTBEFORE(_xlfn.TEXTAFTER(P3,"|"),"|"),"")</f>
        <v>---</v>
      </c>
      <c r="R3" t="str">
        <f t="shared" ref="R3:R66" si="11">IF(AND(LEFT(P3,1)="|",RIGHT(P3,1)="|",LEN(P3)-LEN(SUBSTITUTE(P3,"|",""))=3,LEN(TRIM(_xlfn.TEXTBEFORE(_xlfn.TEXTAFTER(P3,"|"),"|")))&gt;0,LEN(TRIM(_xlfn.TEXTBEFORE(_xlfn.TEXTAFTER(P3,"|",2),"|")))&gt;0),_xlfn.TEXTBEFORE(_xlfn.TEXTAFTER(P3,"|",2),"|"),"")</f>
        <v>---:</v>
      </c>
      <c r="S3" t="s">
        <v>1</v>
      </c>
      <c r="T3" t="str">
        <f t="shared" ref="T3:T66" si="12">IF(AND(LEFT(S3,1)="|",RIGHT(S3,1)="|",LEN(S3)-LEN(SUBSTITUTE(S3,"|",""))=3,LEN(TRIM(_xlfn.TEXTBEFORE(_xlfn.TEXTAFTER(S3,"|"),"|")))&gt;0,LEN(TRIM(_xlfn.TEXTBEFORE(_xlfn.TEXTAFTER(S3,"|",2),"|")))&gt;0),_xlfn.TEXTBEFORE(_xlfn.TEXTAFTER(S3,"|"),"|"),"")</f>
        <v>---</v>
      </c>
      <c r="U3" t="str">
        <f t="shared" ref="U3:U66" si="13">IF(AND(LEFT(S3,1)="|",RIGHT(S3,1)="|",LEN(S3)-LEN(SUBSTITUTE(S3,"|",""))=3,LEN(TRIM(_xlfn.TEXTBEFORE(_xlfn.TEXTAFTER(S3,"|"),"|")))&gt;0,LEN(TRIM(_xlfn.TEXTBEFORE(_xlfn.TEXTAFTER(S3,"|",2),"|")))&gt;0),_xlfn.TEXTBEFORE(_xlfn.TEXTAFTER(S3,"|",2),"|"),"")</f>
        <v>---:</v>
      </c>
      <c r="V3" t="s">
        <v>1</v>
      </c>
      <c r="W3" t="str">
        <f t="shared" ref="W3:W66" si="14">IF(AND(LEFT(V3,1)="|",RIGHT(V3,1)="|",LEN(V3)-LEN(SUBSTITUTE(V3,"|",""))=3,LEN(TRIM(_xlfn.TEXTBEFORE(_xlfn.TEXTAFTER(V3,"|"),"|")))&gt;0,LEN(TRIM(_xlfn.TEXTBEFORE(_xlfn.TEXTAFTER(V3,"|",2),"|")))&gt;0),_xlfn.TEXTBEFORE(_xlfn.TEXTAFTER(V3,"|"),"|"),"")</f>
        <v>---</v>
      </c>
      <c r="X3" t="str">
        <f t="shared" ref="X3:X66" si="15">IF(AND(LEFT(V3,1)="|",RIGHT(V3,1)="|",LEN(V3)-LEN(SUBSTITUTE(V3,"|",""))=3,LEN(TRIM(_xlfn.TEXTBEFORE(_xlfn.TEXTAFTER(V3,"|"),"|")))&gt;0,LEN(TRIM(_xlfn.TEXTBEFORE(_xlfn.TEXTAFTER(V3,"|",2),"|")))&gt;0),_xlfn.TEXTBEFORE(_xlfn.TEXTAFTER(V3,"|",2),"|"),"")</f>
        <v>---:</v>
      </c>
      <c r="Y3" t="s">
        <v>1</v>
      </c>
      <c r="Z3" t="str">
        <f t="shared" ref="Z3:Z66" si="16">IF(AND(LEFT(Y3,1)="|",RIGHT(Y3,1)="|",LEN(Y3)-LEN(SUBSTITUTE(Y3,"|",""))=3,LEN(TRIM(_xlfn.TEXTBEFORE(_xlfn.TEXTAFTER(Y3,"|"),"|")))&gt;0,LEN(TRIM(_xlfn.TEXTBEFORE(_xlfn.TEXTAFTER(Y3,"|",2),"|")))&gt;0),_xlfn.TEXTBEFORE(_xlfn.TEXTAFTER(Y3,"|"),"|"),"")</f>
        <v>---</v>
      </c>
      <c r="AA3" t="str">
        <f t="shared" ref="AA3:AA66" si="17">IF(AND(LEFT(Y3,1)="|",RIGHT(Y3,1)="|",LEN(Y3)-LEN(SUBSTITUTE(Y3,"|",""))=3,LEN(TRIM(_xlfn.TEXTBEFORE(_xlfn.TEXTAFTER(Y3,"|"),"|")))&gt;0,LEN(TRIM(_xlfn.TEXTBEFORE(_xlfn.TEXTAFTER(Y3,"|",2),"|")))&gt;0),_xlfn.TEXTBEFORE(_xlfn.TEXTAFTER(Y3,"|",2),"|"),"")</f>
        <v>---:</v>
      </c>
      <c r="AB3" t="s">
        <v>806</v>
      </c>
      <c r="AC3" t="str">
        <f t="shared" ref="AC3:AC66" si="18">IF(AND(LEFT(AB3,1)="|",RIGHT(AB3,1)="|",LEN(AB3)-LEN(SUBSTITUTE(AB3,"|",""))=3,LEN(TRIM(_xlfn.TEXTBEFORE(_xlfn.TEXTAFTER(AB3,"|"),"|")))&gt;0,LEN(TRIM(_xlfn.TEXTBEFORE(_xlfn.TEXTAFTER(AB3,"|",2),"|")))&gt;0),_xlfn.TEXTBEFORE(_xlfn.TEXTAFTER(AB3,"|"),"|"),"")</f>
        <v>---</v>
      </c>
      <c r="AD3" t="str">
        <f t="shared" ref="AD3:AD66" si="19">IF(AND(LEFT(AB3,1)="|",RIGHT(AB3,1)="|",LEN(AB3)-LEN(SUBSTITUTE(AB3,"|",""))=3,LEN(TRIM(_xlfn.TEXTBEFORE(_xlfn.TEXTAFTER(AB3,"|"),"|")))&gt;0,LEN(TRIM(_xlfn.TEXTBEFORE(_xlfn.TEXTAFTER(AB3,"|",2),"|")))&gt;0),_xlfn.TEXTBEFORE(_xlfn.TEXTAFTER(AB3,"|",2),"|"),"")</f>
        <v>---</v>
      </c>
      <c r="AF3" t="s">
        <v>1</v>
      </c>
      <c r="AG3" t="str">
        <f t="shared" ref="AG3:AG66" si="20">IF(AND(LEFT(AF3,1)="|",RIGHT(AF3,1)="|",LEN(AF3)-LEN(SUBSTITUTE(AF3,"|",""))=3,LEN(TRIM(_xlfn.TEXTBEFORE(_xlfn.TEXTAFTER(AF3,"|"),"|")))&gt;0,LEN(TRIM(_xlfn.TEXTBEFORE(_xlfn.TEXTAFTER(AF3,"|",2),"|")))&gt;0),_xlfn.TEXTBEFORE(_xlfn.TEXTAFTER(AF3,"|"),"|"),"")</f>
        <v>---</v>
      </c>
      <c r="AH3" t="str">
        <f t="shared" ref="AH3:AH66" si="21">IF(AND(LEFT(AF3,1)="|",RIGHT(AF3,1)="|",LEN(AF3)-LEN(SUBSTITUTE(AF3,"|",""))=3,LEN(TRIM(_xlfn.TEXTBEFORE(_xlfn.TEXTAFTER(AF3,"|"),"|")))&gt;0,LEN(TRIM(_xlfn.TEXTBEFORE(_xlfn.TEXTAFTER(AF3,"|",2),"|")))&gt;0),_xlfn.TEXTBEFORE(_xlfn.TEXTAFTER(AF3,"|",2),"|"),"")</f>
        <v>---:</v>
      </c>
      <c r="AI3" t="s">
        <v>1</v>
      </c>
      <c r="AK3" t="str">
        <f t="shared" ref="AK3:AK66" si="22">IF(AND(LEFT(AI3,1)="|",RIGHT(AI3,1)="|",LEN(AI3)-LEN(SUBSTITUTE(AI3,"|",""))=3,LEN(TRIM(_xlfn.TEXTBEFORE(_xlfn.TEXTAFTER(AI3,"|"),"|")))&gt;0,LEN(TRIM(_xlfn.TEXTBEFORE(_xlfn.TEXTAFTER(AI3,"|",2),"|")))&gt;0),_xlfn.TEXTBEFORE(_xlfn.TEXTAFTER(AI3,"|"),"|"),"")</f>
        <v>---</v>
      </c>
      <c r="AL3" t="str">
        <f t="shared" ref="AL3:AL66" si="23">IF(AND(LEFT(AI3,1)="|",RIGHT(AI3,1)="|",LEN(AI3)-LEN(SUBSTITUTE(AI3,"|",""))=3,LEN(TRIM(_xlfn.TEXTBEFORE(_xlfn.TEXTAFTER(AI3,"|"),"|")))&gt;0,LEN(TRIM(_xlfn.TEXTBEFORE(_xlfn.TEXTAFTER(AI3,"|",2),"|")))&gt;0),_xlfn.TEXTBEFORE(_xlfn.TEXTAFTER(AI3,"|",2),"|"),"")</f>
        <v>---:</v>
      </c>
      <c r="AM3" t="s">
        <v>1</v>
      </c>
      <c r="AN3" t="s">
        <v>0</v>
      </c>
      <c r="AO3" t="str">
        <f t="shared" ref="AO3:AO66" si="24">IF(AND(LEFT(AM3,1)="|",RIGHT(AM3,1)="|",LEN(AM3)-LEN(SUBSTITUTE(AM3,"|",""))=3,LEN(TRIM(_xlfn.TEXTBEFORE(_xlfn.TEXTAFTER(AM3,"|"),"|")))&gt;0,LEN(TRIM(_xlfn.TEXTBEFORE(_xlfn.TEXTAFTER(AM3,"|",2),"|")))&gt;0),_xlfn.TEXTBEFORE(_xlfn.TEXTAFTER(AM3,"|",2),"|"),"")</f>
        <v>---:</v>
      </c>
      <c r="AP3" t="s">
        <v>1</v>
      </c>
      <c r="AQ3" t="str">
        <f t="shared" ref="AQ3:AQ66" si="25">IF(AND(LEFT(AP3,1)="|",RIGHT(AP3,1)="|",LEN(AP3)-LEN(SUBSTITUTE(AP3,"|",""))=3,LEN(TRIM(_xlfn.TEXTBEFORE(_xlfn.TEXTAFTER(AP3,"|"),"|")))&gt;0,LEN(TRIM(_xlfn.TEXTBEFORE(_xlfn.TEXTAFTER(AP3,"|",2),"|")))&gt;0),_xlfn.TEXTBEFORE(_xlfn.TEXTAFTER(AP3,"|"),"|"),"")</f>
        <v>---</v>
      </c>
      <c r="AR3" t="str">
        <f t="shared" ref="AR3:AR66" si="26">IF(AND(LEFT(AP3,1)="|",RIGHT(AP3,1)="|",LEN(AP3)-LEN(SUBSTITUTE(AP3,"|",""))=3,LEN(TRIM(_xlfn.TEXTBEFORE(_xlfn.TEXTAFTER(AP3,"|"),"|")))&gt;0,LEN(TRIM(_xlfn.TEXTBEFORE(_xlfn.TEXTAFTER(AP3,"|",2),"|")))&gt;0),_xlfn.TEXTBEFORE(_xlfn.TEXTAFTER(AP3,"|",2),"|"),"")</f>
        <v>---:</v>
      </c>
      <c r="AS3" t="s">
        <v>1</v>
      </c>
      <c r="AT3" t="str">
        <f t="shared" ref="AT3:AT66" si="27">IF(AND(LEFT(AS3,1)="|",RIGHT(AS3,1)="|",LEN(AS3)-LEN(SUBSTITUTE(AS3,"|",""))=3,LEN(TRIM(_xlfn.TEXTBEFORE(_xlfn.TEXTAFTER(AS3,"|"),"|")))&gt;0,LEN(TRIM(_xlfn.TEXTBEFORE(_xlfn.TEXTAFTER(AS3,"|",2),"|")))&gt;0),_xlfn.TEXTBEFORE(_xlfn.TEXTAFTER(AS3,"|"),"|"),"")</f>
        <v>---</v>
      </c>
      <c r="AU3" t="str">
        <f t="shared" ref="AU3:AU66" si="28">IF(AND(LEFT(AS3,1)="|",RIGHT(AS3,1)="|",LEN(AS3)-LEN(SUBSTITUTE(AS3,"|",""))=3,LEN(TRIM(_xlfn.TEXTBEFORE(_xlfn.TEXTAFTER(AS3,"|"),"|")))&gt;0,LEN(TRIM(_xlfn.TEXTBEFORE(_xlfn.TEXTAFTER(AS3,"|",2),"|")))&gt;0),_xlfn.TEXTBEFORE(_xlfn.TEXTAFTER(AS3,"|",2),"|"),"")</f>
        <v>---:</v>
      </c>
      <c r="AV3" t="s">
        <v>1</v>
      </c>
      <c r="AW3" t="str">
        <f t="shared" ref="AW3:AW66" si="29">IF(AND(LEFT(AV3,1)="|",RIGHT(AV3,1)="|",LEN(AV3)-LEN(SUBSTITUTE(AV3,"|",""))=3,LEN(TRIM(_xlfn.TEXTBEFORE(_xlfn.TEXTAFTER(AV3,"|"),"|")))&gt;0,LEN(TRIM(_xlfn.TEXTBEFORE(_xlfn.TEXTAFTER(AV3,"|",2),"|")))&gt;0),_xlfn.TEXTBEFORE(_xlfn.TEXTAFTER(AV3,"|"),"|"),"")</f>
        <v>---</v>
      </c>
      <c r="AX3" t="str">
        <f t="shared" ref="AX3:AX66" si="30">IF(AND(LEFT(AV3,1)="|",RIGHT(AV3,1)="|",LEN(AV3)-LEN(SUBSTITUTE(AV3,"|",""))=3,LEN(TRIM(_xlfn.TEXTBEFORE(_xlfn.TEXTAFTER(AV3,"|"),"|")))&gt;0,LEN(TRIM(_xlfn.TEXTBEFORE(_xlfn.TEXTAFTER(AV3,"|",2),"|")))&gt;0),_xlfn.TEXTBEFORE(_xlfn.TEXTAFTER(AV3,"|",2),"|"),"")</f>
        <v>---:</v>
      </c>
    </row>
    <row r="4" spans="1:50" x14ac:dyDescent="0.45">
      <c r="A4" t="s">
        <v>2</v>
      </c>
      <c r="B4" t="str">
        <f t="shared" si="0"/>
        <v/>
      </c>
      <c r="C4" t="str">
        <f t="shared" si="1"/>
        <v/>
      </c>
      <c r="D4" t="s">
        <v>175</v>
      </c>
      <c r="E4" t="str">
        <f t="shared" si="2"/>
        <v/>
      </c>
      <c r="F4" t="str">
        <f t="shared" si="3"/>
        <v/>
      </c>
      <c r="G4" t="s">
        <v>2</v>
      </c>
      <c r="H4" t="str">
        <f t="shared" si="4"/>
        <v/>
      </c>
      <c r="I4" t="str">
        <f t="shared" si="5"/>
        <v/>
      </c>
      <c r="J4" t="s">
        <v>2</v>
      </c>
      <c r="K4" t="str">
        <f t="shared" si="6"/>
        <v/>
      </c>
      <c r="L4" t="str">
        <f t="shared" si="7"/>
        <v/>
      </c>
      <c r="M4" t="s">
        <v>2</v>
      </c>
      <c r="N4" t="str">
        <f t="shared" si="8"/>
        <v/>
      </c>
      <c r="O4" t="str">
        <f t="shared" si="9"/>
        <v/>
      </c>
      <c r="P4" t="s">
        <v>2</v>
      </c>
      <c r="Q4" t="str">
        <f t="shared" si="10"/>
        <v/>
      </c>
      <c r="R4" t="str">
        <f t="shared" si="11"/>
        <v/>
      </c>
      <c r="S4" t="s">
        <v>657</v>
      </c>
      <c r="T4" t="str">
        <f t="shared" si="12"/>
        <v/>
      </c>
      <c r="U4" t="str">
        <f t="shared" si="13"/>
        <v/>
      </c>
      <c r="V4" t="s">
        <v>657</v>
      </c>
      <c r="W4" t="str">
        <f t="shared" si="14"/>
        <v/>
      </c>
      <c r="X4" t="str">
        <f t="shared" si="15"/>
        <v/>
      </c>
      <c r="Y4" t="s">
        <v>2</v>
      </c>
      <c r="Z4" t="str">
        <f t="shared" si="16"/>
        <v/>
      </c>
      <c r="AA4" t="str">
        <f t="shared" si="17"/>
        <v/>
      </c>
      <c r="AB4" t="s">
        <v>2</v>
      </c>
      <c r="AC4" t="str">
        <f t="shared" si="18"/>
        <v/>
      </c>
      <c r="AD4" t="str">
        <f t="shared" si="19"/>
        <v/>
      </c>
      <c r="AF4" t="s">
        <v>2</v>
      </c>
      <c r="AG4" t="str">
        <f t="shared" si="20"/>
        <v/>
      </c>
      <c r="AH4" t="str">
        <f t="shared" si="21"/>
        <v/>
      </c>
      <c r="AI4" t="s">
        <v>2</v>
      </c>
      <c r="AK4" t="str">
        <f t="shared" si="22"/>
        <v/>
      </c>
      <c r="AL4" t="str">
        <f t="shared" si="23"/>
        <v/>
      </c>
      <c r="AM4" t="s">
        <v>2</v>
      </c>
      <c r="AN4" t="s">
        <v>0</v>
      </c>
      <c r="AO4" t="str">
        <f t="shared" si="24"/>
        <v/>
      </c>
      <c r="AP4" t="s">
        <v>2</v>
      </c>
      <c r="AQ4" t="str">
        <f t="shared" si="25"/>
        <v/>
      </c>
      <c r="AR4" t="str">
        <f t="shared" si="26"/>
        <v/>
      </c>
      <c r="AS4" t="s">
        <v>2</v>
      </c>
      <c r="AT4" t="str">
        <f t="shared" si="27"/>
        <v/>
      </c>
      <c r="AU4" t="str">
        <f t="shared" si="28"/>
        <v/>
      </c>
      <c r="AV4" t="s">
        <v>1079</v>
      </c>
      <c r="AW4" t="str">
        <f t="shared" si="29"/>
        <v/>
      </c>
      <c r="AX4" t="str">
        <f t="shared" si="30"/>
        <v/>
      </c>
    </row>
    <row r="5" spans="1:50" x14ac:dyDescent="0.45">
      <c r="A5" t="s">
        <v>3</v>
      </c>
      <c r="B5" t="str">
        <f t="shared" si="0"/>
        <v xml:space="preserve"> North America </v>
      </c>
      <c r="C5" t="str">
        <f t="shared" si="1"/>
        <v xml:space="preserve"> 15.0% </v>
      </c>
      <c r="D5" t="s">
        <v>176</v>
      </c>
      <c r="E5" t="str">
        <f t="shared" si="2"/>
        <v xml:space="preserve"> North America </v>
      </c>
      <c r="F5" t="str">
        <f t="shared" si="3"/>
        <v xml:space="preserve"> 12.0% </v>
      </c>
      <c r="G5" t="s">
        <v>176</v>
      </c>
      <c r="H5" t="str">
        <f t="shared" si="4"/>
        <v xml:space="preserve"> North America </v>
      </c>
      <c r="I5" t="str">
        <f t="shared" si="5"/>
        <v xml:space="preserve"> 12.0% </v>
      </c>
      <c r="J5" t="s">
        <v>331</v>
      </c>
      <c r="K5" t="str">
        <f t="shared" si="6"/>
        <v xml:space="preserve"> North America </v>
      </c>
      <c r="L5" t="str">
        <f t="shared" si="7"/>
        <v xml:space="preserve"> 20.0% </v>
      </c>
      <c r="M5" t="s">
        <v>176</v>
      </c>
      <c r="N5" t="str">
        <f t="shared" si="8"/>
        <v xml:space="preserve"> North America </v>
      </c>
      <c r="O5" t="str">
        <f t="shared" si="9"/>
        <v xml:space="preserve"> 12.0% </v>
      </c>
      <c r="P5" t="s">
        <v>598</v>
      </c>
      <c r="Q5" t="str">
        <f t="shared" si="10"/>
        <v xml:space="preserve"> North America </v>
      </c>
      <c r="R5" t="str">
        <f t="shared" si="11"/>
        <v xml:space="preserve"> 8.0% </v>
      </c>
      <c r="S5" t="s">
        <v>658</v>
      </c>
      <c r="T5" t="str">
        <f t="shared" si="12"/>
        <v xml:space="preserve"> Western Europe </v>
      </c>
      <c r="U5" t="str">
        <f t="shared" si="13"/>
        <v xml:space="preserve"> 25.0% </v>
      </c>
      <c r="V5" t="s">
        <v>722</v>
      </c>
      <c r="W5" t="str">
        <f t="shared" si="14"/>
        <v xml:space="preserve"> North America </v>
      </c>
      <c r="X5" t="str">
        <f t="shared" si="15"/>
        <v xml:space="preserve"> 18.0% </v>
      </c>
      <c r="Y5" t="s">
        <v>3</v>
      </c>
      <c r="Z5" t="str">
        <f t="shared" si="16"/>
        <v xml:space="preserve"> North America </v>
      </c>
      <c r="AA5" t="str">
        <f t="shared" si="17"/>
        <v xml:space="preserve"> 15.0% </v>
      </c>
      <c r="AB5" t="s">
        <v>176</v>
      </c>
      <c r="AC5" t="str">
        <f t="shared" si="18"/>
        <v xml:space="preserve"> North America </v>
      </c>
      <c r="AD5" t="str">
        <f t="shared" si="19"/>
        <v xml:space="preserve"> 12.0% </v>
      </c>
      <c r="AF5" t="s">
        <v>659</v>
      </c>
      <c r="AG5" t="str">
        <f t="shared" si="20"/>
        <v xml:space="preserve"> North America </v>
      </c>
      <c r="AH5" t="str">
        <f t="shared" si="21"/>
        <v xml:space="preserve"> 22.0% </v>
      </c>
      <c r="AI5" t="s">
        <v>176</v>
      </c>
      <c r="AK5" t="str">
        <f t="shared" si="22"/>
        <v xml:space="preserve"> North America </v>
      </c>
      <c r="AL5" t="str">
        <f t="shared" si="23"/>
        <v xml:space="preserve"> 12.0% </v>
      </c>
      <c r="AM5" t="s">
        <v>3</v>
      </c>
      <c r="AN5" t="s">
        <v>0</v>
      </c>
      <c r="AO5" t="str">
        <f t="shared" si="24"/>
        <v xml:space="preserve"> 15.0% </v>
      </c>
      <c r="AP5" t="s">
        <v>176</v>
      </c>
      <c r="AQ5" t="str">
        <f t="shared" si="25"/>
        <v xml:space="preserve"> North America </v>
      </c>
      <c r="AR5" t="str">
        <f t="shared" si="26"/>
        <v xml:space="preserve"> 12.0% </v>
      </c>
      <c r="AS5" t="s">
        <v>659</v>
      </c>
      <c r="AT5" t="str">
        <f t="shared" si="27"/>
        <v xml:space="preserve"> North America </v>
      </c>
      <c r="AU5" t="str">
        <f t="shared" si="28"/>
        <v xml:space="preserve"> 22.0% </v>
      </c>
      <c r="AV5" t="s">
        <v>1080</v>
      </c>
      <c r="AW5" t="str">
        <f t="shared" si="29"/>
        <v>North America</v>
      </c>
      <c r="AX5" t="str">
        <f t="shared" si="30"/>
        <v xml:space="preserve"> 18.0% </v>
      </c>
    </row>
    <row r="6" spans="1:50" x14ac:dyDescent="0.45">
      <c r="A6" t="s">
        <v>4</v>
      </c>
      <c r="B6" t="str">
        <f t="shared" si="0"/>
        <v xml:space="preserve"> Latin America </v>
      </c>
      <c r="C6" t="str">
        <f t="shared" si="1"/>
        <v xml:space="preserve"> 12.0% </v>
      </c>
      <c r="D6" t="s">
        <v>177</v>
      </c>
      <c r="E6" t="str">
        <f t="shared" si="2"/>
        <v xml:space="preserve"> Latin America </v>
      </c>
      <c r="F6" t="str">
        <f t="shared" si="3"/>
        <v xml:space="preserve"> 8.0% </v>
      </c>
      <c r="G6" t="s">
        <v>332</v>
      </c>
      <c r="H6" t="str">
        <f t="shared" si="4"/>
        <v xml:space="preserve"> Latin America </v>
      </c>
      <c r="I6" t="str">
        <f t="shared" si="5"/>
        <v xml:space="preserve"> 10.0% </v>
      </c>
      <c r="J6" t="s">
        <v>332</v>
      </c>
      <c r="K6" t="str">
        <f t="shared" si="6"/>
        <v xml:space="preserve"> Latin America </v>
      </c>
      <c r="L6" t="str">
        <f t="shared" si="7"/>
        <v xml:space="preserve"> 10.0% </v>
      </c>
      <c r="M6" t="s">
        <v>413</v>
      </c>
      <c r="N6" t="str">
        <f t="shared" si="8"/>
        <v xml:space="preserve"> Latin America </v>
      </c>
      <c r="O6" t="str">
        <f t="shared" si="9"/>
        <v xml:space="preserve"> 11.0% </v>
      </c>
      <c r="P6" t="s">
        <v>332</v>
      </c>
      <c r="Q6" t="str">
        <f t="shared" si="10"/>
        <v xml:space="preserve"> Latin America </v>
      </c>
      <c r="R6" t="str">
        <f t="shared" si="11"/>
        <v xml:space="preserve"> 10.0% </v>
      </c>
      <c r="S6" t="s">
        <v>659</v>
      </c>
      <c r="T6" t="str">
        <f t="shared" si="12"/>
        <v xml:space="preserve"> North America </v>
      </c>
      <c r="U6" t="str">
        <f t="shared" si="13"/>
        <v xml:space="preserve"> 22.0% </v>
      </c>
      <c r="V6" t="s">
        <v>332</v>
      </c>
      <c r="W6" t="str">
        <f t="shared" si="14"/>
        <v xml:space="preserve"> Latin America </v>
      </c>
      <c r="X6" t="str">
        <f t="shared" si="15"/>
        <v xml:space="preserve"> 10.0% </v>
      </c>
      <c r="Y6" t="s">
        <v>177</v>
      </c>
      <c r="Z6" t="str">
        <f t="shared" si="16"/>
        <v xml:space="preserve"> Latin America </v>
      </c>
      <c r="AA6" t="str">
        <f t="shared" si="17"/>
        <v xml:space="preserve"> 8.0% </v>
      </c>
      <c r="AB6" t="s">
        <v>807</v>
      </c>
      <c r="AC6" t="str">
        <f t="shared" si="18"/>
        <v xml:space="preserve"> Latin America </v>
      </c>
      <c r="AD6" t="str">
        <f t="shared" si="19"/>
        <v xml:space="preserve"> 6.0% </v>
      </c>
      <c r="AF6" t="s">
        <v>177</v>
      </c>
      <c r="AG6" t="str">
        <f t="shared" si="20"/>
        <v xml:space="preserve"> Latin America </v>
      </c>
      <c r="AH6" t="str">
        <f t="shared" si="21"/>
        <v xml:space="preserve"> 8.0% </v>
      </c>
      <c r="AI6" t="s">
        <v>177</v>
      </c>
      <c r="AK6" t="str">
        <f t="shared" si="22"/>
        <v xml:space="preserve"> Latin America </v>
      </c>
      <c r="AL6" t="str">
        <f t="shared" si="23"/>
        <v xml:space="preserve"> 8.0% </v>
      </c>
      <c r="AM6" t="s">
        <v>332</v>
      </c>
      <c r="AN6" t="s">
        <v>0</v>
      </c>
      <c r="AO6" t="str">
        <f t="shared" si="24"/>
        <v xml:space="preserve"> 10.0% </v>
      </c>
      <c r="AP6" t="s">
        <v>973</v>
      </c>
      <c r="AQ6" t="str">
        <f t="shared" si="25"/>
        <v xml:space="preserve"> Latin America </v>
      </c>
      <c r="AR6" t="str">
        <f t="shared" si="26"/>
        <v xml:space="preserve"> 9.0% </v>
      </c>
      <c r="AS6" t="s">
        <v>807</v>
      </c>
      <c r="AT6" t="str">
        <f t="shared" si="27"/>
        <v xml:space="preserve"> Latin America </v>
      </c>
      <c r="AU6" t="str">
        <f t="shared" si="28"/>
        <v xml:space="preserve"> 6.0% </v>
      </c>
      <c r="AV6" t="s">
        <v>1081</v>
      </c>
      <c r="AW6" t="str">
        <f t="shared" si="29"/>
        <v>Latin America</v>
      </c>
      <c r="AX6" t="str">
        <f t="shared" si="30"/>
        <v xml:space="preserve"> 5.0% </v>
      </c>
    </row>
    <row r="7" spans="1:50" x14ac:dyDescent="0.45">
      <c r="A7" t="s">
        <v>5</v>
      </c>
      <c r="B7" t="str">
        <f t="shared" si="0"/>
        <v xml:space="preserve"> Australia / Oceania </v>
      </c>
      <c r="C7" t="str">
        <f t="shared" si="1"/>
        <v xml:space="preserve"> 5.0% </v>
      </c>
      <c r="D7" t="s">
        <v>178</v>
      </c>
      <c r="E7" t="str">
        <f t="shared" si="2"/>
        <v xml:space="preserve"> Australia / Oceania </v>
      </c>
      <c r="F7" t="str">
        <f t="shared" si="3"/>
        <v xml:space="preserve"> 4.0% </v>
      </c>
      <c r="G7" t="s">
        <v>178</v>
      </c>
      <c r="H7" t="str">
        <f t="shared" si="4"/>
        <v xml:space="preserve"> Australia / Oceania </v>
      </c>
      <c r="I7" t="str">
        <f t="shared" si="5"/>
        <v xml:space="preserve"> 4.0% </v>
      </c>
      <c r="J7" t="s">
        <v>5</v>
      </c>
      <c r="K7" t="str">
        <f t="shared" si="6"/>
        <v xml:space="preserve"> Australia / Oceania </v>
      </c>
      <c r="L7" t="str">
        <f t="shared" si="7"/>
        <v xml:space="preserve"> 5.0% </v>
      </c>
      <c r="M7" t="s">
        <v>414</v>
      </c>
      <c r="N7" t="str">
        <f t="shared" si="8"/>
        <v xml:space="preserve"> Australia / Oceania </v>
      </c>
      <c r="O7" t="str">
        <f t="shared" si="9"/>
        <v xml:space="preserve"> 3.0% </v>
      </c>
      <c r="P7" t="s">
        <v>414</v>
      </c>
      <c r="Q7" t="str">
        <f t="shared" si="10"/>
        <v xml:space="preserve"> Australia / Oceania </v>
      </c>
      <c r="R7" t="str">
        <f t="shared" si="11"/>
        <v xml:space="preserve"> 3.0% </v>
      </c>
      <c r="S7" t="s">
        <v>7</v>
      </c>
      <c r="T7" t="str">
        <f t="shared" si="12"/>
        <v xml:space="preserve"> Asia </v>
      </c>
      <c r="U7" t="str">
        <f t="shared" si="13"/>
        <v xml:space="preserve"> 18.0% </v>
      </c>
      <c r="V7" t="s">
        <v>5</v>
      </c>
      <c r="W7" t="str">
        <f t="shared" si="14"/>
        <v xml:space="preserve"> Australia / Oceania </v>
      </c>
      <c r="X7" t="str">
        <f t="shared" si="15"/>
        <v xml:space="preserve"> 5.0% </v>
      </c>
      <c r="Y7" t="s">
        <v>5</v>
      </c>
      <c r="Z7" t="str">
        <f t="shared" si="16"/>
        <v xml:space="preserve"> Australia / Oceania </v>
      </c>
      <c r="AA7" t="str">
        <f t="shared" si="17"/>
        <v xml:space="preserve"> 5.0% </v>
      </c>
      <c r="AB7" t="s">
        <v>808</v>
      </c>
      <c r="AC7" t="str">
        <f t="shared" si="18"/>
        <v xml:space="preserve"> Australia / Oceania </v>
      </c>
      <c r="AD7" t="str">
        <f t="shared" si="19"/>
        <v xml:space="preserve"> 2.0% </v>
      </c>
      <c r="AF7" t="s">
        <v>839</v>
      </c>
      <c r="AG7" t="str">
        <f t="shared" si="20"/>
        <v xml:space="preserve"> Australia / Oceania </v>
      </c>
      <c r="AH7" t="str">
        <f t="shared" si="21"/>
        <v xml:space="preserve"> 6.0% </v>
      </c>
      <c r="AI7" t="s">
        <v>414</v>
      </c>
      <c r="AK7" t="str">
        <f t="shared" si="22"/>
        <v xml:space="preserve"> Australia / Oceania </v>
      </c>
      <c r="AL7" t="str">
        <f t="shared" si="23"/>
        <v xml:space="preserve"> 3.0% </v>
      </c>
      <c r="AM7" t="s">
        <v>5</v>
      </c>
      <c r="AN7" t="s">
        <v>0</v>
      </c>
      <c r="AO7" t="str">
        <f t="shared" si="24"/>
        <v xml:space="preserve"> 5.0% </v>
      </c>
      <c r="AP7" t="s">
        <v>178</v>
      </c>
      <c r="AQ7" t="str">
        <f t="shared" si="25"/>
        <v xml:space="preserve"> Australia / Oceania </v>
      </c>
      <c r="AR7" t="str">
        <f t="shared" si="26"/>
        <v xml:space="preserve"> 4.0% </v>
      </c>
      <c r="AS7" t="s">
        <v>414</v>
      </c>
      <c r="AT7" t="str">
        <f t="shared" si="27"/>
        <v xml:space="preserve"> Australia / Oceania </v>
      </c>
      <c r="AU7" t="str">
        <f t="shared" si="28"/>
        <v xml:space="preserve"> 3.0% </v>
      </c>
      <c r="AV7" t="s">
        <v>1082</v>
      </c>
      <c r="AW7" t="str">
        <f t="shared" si="29"/>
        <v>Australia / Oceania</v>
      </c>
      <c r="AX7" t="str">
        <f t="shared" si="30"/>
        <v xml:space="preserve"> 5.0% </v>
      </c>
    </row>
    <row r="8" spans="1:50" x14ac:dyDescent="0.45">
      <c r="A8" t="s">
        <v>6</v>
      </c>
      <c r="B8" t="str">
        <f t="shared" si="0"/>
        <v xml:space="preserve"> Middle East </v>
      </c>
      <c r="C8" t="str">
        <f t="shared" si="1"/>
        <v xml:space="preserve"> 10.0% </v>
      </c>
      <c r="D8" t="s">
        <v>6</v>
      </c>
      <c r="E8" t="str">
        <f t="shared" si="2"/>
        <v xml:space="preserve"> Middle East </v>
      </c>
      <c r="F8" t="str">
        <f t="shared" si="3"/>
        <v xml:space="preserve"> 10.0% </v>
      </c>
      <c r="G8" t="s">
        <v>535</v>
      </c>
      <c r="H8" t="str">
        <f t="shared" si="4"/>
        <v xml:space="preserve"> Middle East </v>
      </c>
      <c r="I8" t="str">
        <f t="shared" si="5"/>
        <v xml:space="preserve"> 15.0% </v>
      </c>
      <c r="J8" t="s">
        <v>333</v>
      </c>
      <c r="K8" t="str">
        <f t="shared" si="6"/>
        <v xml:space="preserve"> Middle East </v>
      </c>
      <c r="L8" t="str">
        <f t="shared" si="7"/>
        <v xml:space="preserve"> 8.0% </v>
      </c>
      <c r="M8" t="s">
        <v>415</v>
      </c>
      <c r="N8" t="str">
        <f t="shared" si="8"/>
        <v xml:space="preserve"> Middle East </v>
      </c>
      <c r="O8" t="str">
        <f t="shared" si="9"/>
        <v xml:space="preserve"> 12.0% </v>
      </c>
      <c r="P8" t="s">
        <v>599</v>
      </c>
      <c r="Q8" t="str">
        <f t="shared" si="10"/>
        <v xml:space="preserve"> Middle East </v>
      </c>
      <c r="R8" t="str">
        <f t="shared" si="11"/>
        <v xml:space="preserve"> 18.0% </v>
      </c>
      <c r="S8" t="s">
        <v>8</v>
      </c>
      <c r="T8" t="str">
        <f t="shared" si="12"/>
        <v xml:space="preserve"> Eastern Europe </v>
      </c>
      <c r="U8" t="str">
        <f t="shared" si="13"/>
        <v xml:space="preserve"> 10.0% </v>
      </c>
      <c r="V8" t="s">
        <v>333</v>
      </c>
      <c r="W8" t="str">
        <f t="shared" si="14"/>
        <v xml:space="preserve"> Middle East </v>
      </c>
      <c r="X8" t="str">
        <f t="shared" si="15"/>
        <v xml:space="preserve"> 8.0% </v>
      </c>
      <c r="Y8" t="s">
        <v>776</v>
      </c>
      <c r="Z8" t="str">
        <f t="shared" si="16"/>
        <v xml:space="preserve"> Middle East </v>
      </c>
      <c r="AA8" t="str">
        <f t="shared" si="17"/>
        <v xml:space="preserve"> 7.0% </v>
      </c>
      <c r="AB8" t="s">
        <v>809</v>
      </c>
      <c r="AC8" t="str">
        <f t="shared" si="18"/>
        <v xml:space="preserve"> Middle East </v>
      </c>
      <c r="AD8" t="str">
        <f t="shared" si="19"/>
        <v xml:space="preserve"> 4.0% </v>
      </c>
      <c r="AF8" t="s">
        <v>776</v>
      </c>
      <c r="AG8" t="str">
        <f t="shared" si="20"/>
        <v xml:space="preserve"> Middle East </v>
      </c>
      <c r="AH8" t="str">
        <f t="shared" si="21"/>
        <v xml:space="preserve"> 7.0% </v>
      </c>
      <c r="AI8" t="s">
        <v>6</v>
      </c>
      <c r="AK8" t="str">
        <f t="shared" si="22"/>
        <v xml:space="preserve"> Middle East </v>
      </c>
      <c r="AL8" t="str">
        <f t="shared" si="23"/>
        <v xml:space="preserve"> 10.0% </v>
      </c>
      <c r="AM8" t="s">
        <v>415</v>
      </c>
      <c r="AN8" t="s">
        <v>0</v>
      </c>
      <c r="AO8" t="str">
        <f t="shared" si="24"/>
        <v xml:space="preserve"> 12.0% </v>
      </c>
      <c r="AP8" t="s">
        <v>974</v>
      </c>
      <c r="AQ8" t="str">
        <f t="shared" si="25"/>
        <v xml:space="preserve"> Middle East </v>
      </c>
      <c r="AR8" t="str">
        <f t="shared" si="26"/>
        <v xml:space="preserve"> 9.0% </v>
      </c>
      <c r="AS8" t="s">
        <v>333</v>
      </c>
      <c r="AT8" t="str">
        <f t="shared" si="27"/>
        <v xml:space="preserve"> Middle East </v>
      </c>
      <c r="AU8" t="str">
        <f t="shared" si="28"/>
        <v xml:space="preserve"> 8.0% </v>
      </c>
      <c r="AV8" t="s">
        <v>1083</v>
      </c>
      <c r="AW8" t="str">
        <f t="shared" si="29"/>
        <v>Middle East</v>
      </c>
      <c r="AX8" t="str">
        <f t="shared" si="30"/>
        <v xml:space="preserve"> 5.0% </v>
      </c>
    </row>
    <row r="9" spans="1:50" x14ac:dyDescent="0.45">
      <c r="A9" t="s">
        <v>7</v>
      </c>
      <c r="B9" t="str">
        <f t="shared" si="0"/>
        <v xml:space="preserve"> Asia </v>
      </c>
      <c r="C9" t="str">
        <f t="shared" si="1"/>
        <v xml:space="preserve"> 18.0% </v>
      </c>
      <c r="D9" t="s">
        <v>179</v>
      </c>
      <c r="E9" t="str">
        <f t="shared" si="2"/>
        <v xml:space="preserve"> Asia </v>
      </c>
      <c r="F9" t="str">
        <f t="shared" si="3"/>
        <v xml:space="preserve"> 14.0% </v>
      </c>
      <c r="G9" t="s">
        <v>7</v>
      </c>
      <c r="H9" t="str">
        <f t="shared" si="4"/>
        <v xml:space="preserve"> Asia </v>
      </c>
      <c r="I9" t="str">
        <f t="shared" si="5"/>
        <v xml:space="preserve"> 18.0% </v>
      </c>
      <c r="J9" t="s">
        <v>334</v>
      </c>
      <c r="K9" t="str">
        <f t="shared" si="6"/>
        <v xml:space="preserve"> Asia </v>
      </c>
      <c r="L9" t="str">
        <f t="shared" si="7"/>
        <v xml:space="preserve"> 25.0% </v>
      </c>
      <c r="M9" t="s">
        <v>416</v>
      </c>
      <c r="N9" t="str">
        <f t="shared" si="8"/>
        <v xml:space="preserve"> Asia </v>
      </c>
      <c r="O9" t="str">
        <f t="shared" si="9"/>
        <v xml:space="preserve"> 23.0% </v>
      </c>
      <c r="P9" t="s">
        <v>600</v>
      </c>
      <c r="Q9" t="str">
        <f t="shared" si="10"/>
        <v xml:space="preserve"> Asia </v>
      </c>
      <c r="R9" t="str">
        <f t="shared" si="11"/>
        <v xml:space="preserve"> 22.0% </v>
      </c>
      <c r="S9" t="s">
        <v>333</v>
      </c>
      <c r="T9" t="str">
        <f t="shared" si="12"/>
        <v xml:space="preserve"> Middle East </v>
      </c>
      <c r="U9" t="str">
        <f t="shared" si="13"/>
        <v xml:space="preserve"> 8.0% </v>
      </c>
      <c r="V9" t="s">
        <v>334</v>
      </c>
      <c r="W9" t="str">
        <f t="shared" si="14"/>
        <v xml:space="preserve"> Asia </v>
      </c>
      <c r="X9" t="str">
        <f t="shared" si="15"/>
        <v xml:space="preserve"> 25.0% </v>
      </c>
      <c r="Y9" t="s">
        <v>777</v>
      </c>
      <c r="Z9" t="str">
        <f t="shared" si="16"/>
        <v xml:space="preserve"> Asia </v>
      </c>
      <c r="AA9" t="str">
        <f t="shared" si="17"/>
        <v xml:space="preserve"> 20.0% </v>
      </c>
      <c r="AB9" t="s">
        <v>810</v>
      </c>
      <c r="AC9" t="str">
        <f t="shared" si="18"/>
        <v xml:space="preserve"> Asia </v>
      </c>
      <c r="AD9" t="str">
        <f t="shared" si="19"/>
        <v xml:space="preserve"> 35.0% </v>
      </c>
      <c r="AF9" t="s">
        <v>840</v>
      </c>
      <c r="AG9" t="str">
        <f t="shared" si="20"/>
        <v xml:space="preserve"> Asia </v>
      </c>
      <c r="AH9" t="str">
        <f t="shared" si="21"/>
        <v xml:space="preserve"> 24.0% </v>
      </c>
      <c r="AI9" t="s">
        <v>334</v>
      </c>
      <c r="AK9" t="str">
        <f t="shared" si="22"/>
        <v xml:space="preserve"> Asia </v>
      </c>
      <c r="AL9" t="str">
        <f t="shared" si="23"/>
        <v xml:space="preserve"> 25.0% </v>
      </c>
      <c r="AM9" t="s">
        <v>7</v>
      </c>
      <c r="AN9" t="s">
        <v>0</v>
      </c>
      <c r="AO9" t="str">
        <f t="shared" si="24"/>
        <v xml:space="preserve"> 18.0% </v>
      </c>
      <c r="AP9" t="s">
        <v>975</v>
      </c>
      <c r="AQ9" t="str">
        <f t="shared" si="25"/>
        <v xml:space="preserve"> Asia </v>
      </c>
      <c r="AR9" t="str">
        <f t="shared" si="26"/>
        <v xml:space="preserve"> 28.0% </v>
      </c>
      <c r="AS9" t="s">
        <v>840</v>
      </c>
      <c r="AT9" t="str">
        <f t="shared" si="27"/>
        <v xml:space="preserve"> Asia </v>
      </c>
      <c r="AU9" t="str">
        <f t="shared" si="28"/>
        <v xml:space="preserve"> 24.0% </v>
      </c>
      <c r="AV9" t="s">
        <v>1084</v>
      </c>
      <c r="AW9" t="str">
        <f t="shared" si="29"/>
        <v>Asia</v>
      </c>
      <c r="AX9" t="str">
        <f t="shared" si="30"/>
        <v xml:space="preserve"> 32.0% </v>
      </c>
    </row>
    <row r="10" spans="1:50" x14ac:dyDescent="0.45">
      <c r="A10" t="s">
        <v>8</v>
      </c>
      <c r="B10" t="str">
        <f t="shared" si="0"/>
        <v xml:space="preserve"> Eastern Europe </v>
      </c>
      <c r="C10" t="str">
        <f t="shared" si="1"/>
        <v xml:space="preserve"> 10.0% </v>
      </c>
      <c r="D10" t="s">
        <v>180</v>
      </c>
      <c r="E10" t="str">
        <f t="shared" si="2"/>
        <v xml:space="preserve"> Eastern Europe </v>
      </c>
      <c r="F10" t="str">
        <f t="shared" si="3"/>
        <v xml:space="preserve"> 8.0% </v>
      </c>
      <c r="G10" t="s">
        <v>536</v>
      </c>
      <c r="H10" t="str">
        <f t="shared" si="4"/>
        <v xml:space="preserve"> Eastern Europe </v>
      </c>
      <c r="I10" t="str">
        <f t="shared" si="5"/>
        <v xml:space="preserve"> 12.0% </v>
      </c>
      <c r="J10" t="s">
        <v>335</v>
      </c>
      <c r="K10" t="str">
        <f t="shared" si="6"/>
        <v xml:space="preserve"> Eastern Europe </v>
      </c>
      <c r="L10" t="str">
        <f t="shared" si="7"/>
        <v xml:space="preserve"> 7.0% </v>
      </c>
      <c r="M10" t="s">
        <v>180</v>
      </c>
      <c r="N10" t="str">
        <f t="shared" si="8"/>
        <v xml:space="preserve"> Eastern Europe </v>
      </c>
      <c r="O10" t="str">
        <f t="shared" si="9"/>
        <v xml:space="preserve"> 8.0% </v>
      </c>
      <c r="P10" t="s">
        <v>180</v>
      </c>
      <c r="Q10" t="str">
        <f t="shared" si="10"/>
        <v xml:space="preserve"> Eastern Europe </v>
      </c>
      <c r="R10" t="str">
        <f t="shared" si="11"/>
        <v xml:space="preserve"> 8.0% </v>
      </c>
      <c r="S10" t="s">
        <v>660</v>
      </c>
      <c r="T10" t="str">
        <f t="shared" si="12"/>
        <v xml:space="preserve"> Latin America </v>
      </c>
      <c r="U10" t="str">
        <f t="shared" si="13"/>
        <v xml:space="preserve"> 7.0% </v>
      </c>
      <c r="V10" t="s">
        <v>335</v>
      </c>
      <c r="W10" t="str">
        <f t="shared" si="14"/>
        <v xml:space="preserve"> Eastern Europe </v>
      </c>
      <c r="X10" t="str">
        <f t="shared" si="15"/>
        <v xml:space="preserve"> 7.0% </v>
      </c>
      <c r="Y10" t="s">
        <v>8</v>
      </c>
      <c r="Z10" t="str">
        <f t="shared" si="16"/>
        <v xml:space="preserve"> Eastern Europe </v>
      </c>
      <c r="AA10" t="str">
        <f t="shared" si="17"/>
        <v xml:space="preserve"> 10.0% </v>
      </c>
      <c r="AB10" t="s">
        <v>335</v>
      </c>
      <c r="AC10" t="str">
        <f t="shared" si="18"/>
        <v xml:space="preserve"> Eastern Europe </v>
      </c>
      <c r="AD10" t="str">
        <f t="shared" si="19"/>
        <v xml:space="preserve"> 7.0% </v>
      </c>
      <c r="AF10" t="s">
        <v>841</v>
      </c>
      <c r="AG10" t="str">
        <f t="shared" si="20"/>
        <v xml:space="preserve"> Eastern Europe </v>
      </c>
      <c r="AH10" t="str">
        <f t="shared" si="21"/>
        <v xml:space="preserve"> 11.0% </v>
      </c>
      <c r="AI10" t="s">
        <v>335</v>
      </c>
      <c r="AK10" t="str">
        <f t="shared" si="22"/>
        <v xml:space="preserve"> Eastern Europe </v>
      </c>
      <c r="AL10" t="str">
        <f t="shared" si="23"/>
        <v xml:space="preserve"> 7.0% </v>
      </c>
      <c r="AM10" t="s">
        <v>180</v>
      </c>
      <c r="AN10" t="s">
        <v>0</v>
      </c>
      <c r="AO10" t="str">
        <f t="shared" si="24"/>
        <v xml:space="preserve"> 8.0% </v>
      </c>
      <c r="AP10" t="s">
        <v>976</v>
      </c>
      <c r="AQ10" t="str">
        <f t="shared" si="25"/>
        <v xml:space="preserve"> Eastern Europe </v>
      </c>
      <c r="AR10" t="str">
        <f t="shared" si="26"/>
        <v xml:space="preserve"> 6.0% </v>
      </c>
      <c r="AS10" t="s">
        <v>1038</v>
      </c>
      <c r="AT10" t="str">
        <f t="shared" si="27"/>
        <v xml:space="preserve"> Eastern Europe </v>
      </c>
      <c r="AU10" t="str">
        <f t="shared" si="28"/>
        <v xml:space="preserve"> 5.0% </v>
      </c>
      <c r="AV10" t="s">
        <v>1085</v>
      </c>
      <c r="AW10" t="str">
        <f t="shared" si="29"/>
        <v>Eastern Europe</v>
      </c>
      <c r="AX10" t="str">
        <f t="shared" si="30"/>
        <v xml:space="preserve"> 7.0% </v>
      </c>
    </row>
    <row r="11" spans="1:50" x14ac:dyDescent="0.45">
      <c r="A11" t="s">
        <v>9</v>
      </c>
      <c r="B11" t="str">
        <f t="shared" si="0"/>
        <v xml:space="preserve"> Africa </v>
      </c>
      <c r="C11" t="str">
        <f t="shared" si="1"/>
        <v xml:space="preserve"> 12.0% </v>
      </c>
      <c r="D11" t="s">
        <v>181</v>
      </c>
      <c r="E11" t="str">
        <f t="shared" si="2"/>
        <v xml:space="preserve"> Africa </v>
      </c>
      <c r="F11" t="str">
        <f t="shared" si="3"/>
        <v xml:space="preserve"> 10.0% </v>
      </c>
      <c r="G11" t="s">
        <v>9</v>
      </c>
      <c r="H11" t="str">
        <f t="shared" si="4"/>
        <v xml:space="preserve"> Africa </v>
      </c>
      <c r="I11" t="str">
        <f t="shared" si="5"/>
        <v xml:space="preserve"> 12.0% </v>
      </c>
      <c r="J11" t="s">
        <v>181</v>
      </c>
      <c r="K11" t="str">
        <f t="shared" si="6"/>
        <v xml:space="preserve"> Africa </v>
      </c>
      <c r="L11" t="str">
        <f t="shared" si="7"/>
        <v xml:space="preserve"> 10.0% </v>
      </c>
      <c r="M11" t="s">
        <v>9</v>
      </c>
      <c r="N11" t="str">
        <f t="shared" si="8"/>
        <v xml:space="preserve"> Africa </v>
      </c>
      <c r="O11" t="str">
        <f t="shared" si="9"/>
        <v xml:space="preserve"> 12.0% </v>
      </c>
      <c r="P11" t="s">
        <v>601</v>
      </c>
      <c r="Q11" t="str">
        <f t="shared" si="10"/>
        <v xml:space="preserve"> Africa </v>
      </c>
      <c r="R11" t="str">
        <f t="shared" si="11"/>
        <v xml:space="preserve"> 14.0% </v>
      </c>
      <c r="S11" t="s">
        <v>661</v>
      </c>
      <c r="T11" t="str">
        <f t="shared" si="12"/>
        <v xml:space="preserve"> Africa </v>
      </c>
      <c r="U11" t="str">
        <f t="shared" si="13"/>
        <v xml:space="preserve"> 5.0% </v>
      </c>
      <c r="V11" t="s">
        <v>723</v>
      </c>
      <c r="W11" t="str">
        <f t="shared" si="14"/>
        <v xml:space="preserve"> Africa </v>
      </c>
      <c r="X11" t="str">
        <f t="shared" si="15"/>
        <v xml:space="preserve"> 7.0% </v>
      </c>
      <c r="Y11" t="s">
        <v>181</v>
      </c>
      <c r="Z11" t="str">
        <f t="shared" si="16"/>
        <v xml:space="preserve"> Africa </v>
      </c>
      <c r="AA11" t="str">
        <f t="shared" si="17"/>
        <v xml:space="preserve"> 10.0% </v>
      </c>
      <c r="AB11" t="s">
        <v>9</v>
      </c>
      <c r="AC11" t="str">
        <f t="shared" si="18"/>
        <v xml:space="preserve"> Africa </v>
      </c>
      <c r="AD11" t="str">
        <f t="shared" si="19"/>
        <v xml:space="preserve"> 12.0% </v>
      </c>
      <c r="AF11" t="s">
        <v>661</v>
      </c>
      <c r="AG11" t="str">
        <f t="shared" si="20"/>
        <v xml:space="preserve"> Africa </v>
      </c>
      <c r="AH11" t="str">
        <f t="shared" si="21"/>
        <v xml:space="preserve"> 5.0% </v>
      </c>
      <c r="AI11" t="s">
        <v>944</v>
      </c>
      <c r="AK11" t="str">
        <f t="shared" si="22"/>
        <v xml:space="preserve"> Africa </v>
      </c>
      <c r="AL11" t="str">
        <f t="shared" si="23"/>
        <v xml:space="preserve"> 15.0% </v>
      </c>
      <c r="AM11" t="s">
        <v>9</v>
      </c>
      <c r="AN11" t="s">
        <v>0</v>
      </c>
      <c r="AO11" t="str">
        <f t="shared" si="24"/>
        <v xml:space="preserve"> 12.0% </v>
      </c>
      <c r="AP11" t="s">
        <v>181</v>
      </c>
      <c r="AQ11" t="str">
        <f t="shared" si="25"/>
        <v xml:space="preserve"> Africa </v>
      </c>
      <c r="AR11" t="str">
        <f t="shared" si="26"/>
        <v xml:space="preserve"> 10.0% </v>
      </c>
      <c r="AS11" t="s">
        <v>1039</v>
      </c>
      <c r="AT11" t="str">
        <f t="shared" si="27"/>
        <v xml:space="preserve"> Africa </v>
      </c>
      <c r="AU11" t="str">
        <f t="shared" si="28"/>
        <v xml:space="preserve"> 4.0% </v>
      </c>
      <c r="AV11" t="s">
        <v>1086</v>
      </c>
      <c r="AW11" t="str">
        <f t="shared" si="29"/>
        <v>Africa</v>
      </c>
      <c r="AX11" t="str">
        <f t="shared" si="30"/>
        <v xml:space="preserve"> 6.0% </v>
      </c>
    </row>
    <row r="12" spans="1:50" x14ac:dyDescent="0.45">
      <c r="A12" t="s">
        <v>10</v>
      </c>
      <c r="B12" t="str">
        <f t="shared" si="0"/>
        <v xml:space="preserve"> Western Europe </v>
      </c>
      <c r="C12" t="str">
        <f t="shared" si="1"/>
        <v xml:space="preserve"> 18.0% </v>
      </c>
      <c r="D12" t="s">
        <v>182</v>
      </c>
      <c r="E12" t="str">
        <f t="shared" si="2"/>
        <v xml:space="preserve"> Western Europe </v>
      </c>
      <c r="F12" t="str">
        <f t="shared" si="3"/>
        <v xml:space="preserve"> 34.0% </v>
      </c>
      <c r="G12" t="s">
        <v>537</v>
      </c>
      <c r="H12" t="str">
        <f t="shared" si="4"/>
        <v xml:space="preserve"> Western Europe </v>
      </c>
      <c r="I12" t="str">
        <f t="shared" si="5"/>
        <v xml:space="preserve"> 17.0% </v>
      </c>
      <c r="J12" t="s">
        <v>336</v>
      </c>
      <c r="K12" t="str">
        <f t="shared" si="6"/>
        <v xml:space="preserve"> Western Europe </v>
      </c>
      <c r="L12" t="str">
        <f t="shared" si="7"/>
        <v xml:space="preserve"> 15.0% </v>
      </c>
      <c r="M12" t="s">
        <v>417</v>
      </c>
      <c r="N12" t="str">
        <f t="shared" si="8"/>
        <v xml:space="preserve"> Western Europe </v>
      </c>
      <c r="O12" t="str">
        <f t="shared" si="9"/>
        <v xml:space="preserve"> 19.0% </v>
      </c>
      <c r="P12" t="s">
        <v>537</v>
      </c>
      <c r="Q12" t="str">
        <f t="shared" si="10"/>
        <v xml:space="preserve"> Western Europe </v>
      </c>
      <c r="R12" t="str">
        <f t="shared" si="11"/>
        <v xml:space="preserve"> 17.0% </v>
      </c>
      <c r="S12" t="s">
        <v>5</v>
      </c>
      <c r="T12" t="str">
        <f t="shared" si="12"/>
        <v xml:space="preserve"> Australia / Oceania </v>
      </c>
      <c r="U12" t="str">
        <f t="shared" si="13"/>
        <v xml:space="preserve"> 5.0% </v>
      </c>
      <c r="V12" t="s">
        <v>724</v>
      </c>
      <c r="W12" t="str">
        <f t="shared" si="14"/>
        <v xml:space="preserve"> Western Europe </v>
      </c>
      <c r="X12" t="str">
        <f t="shared" si="15"/>
        <v xml:space="preserve"> 20.0% </v>
      </c>
      <c r="Y12" t="s">
        <v>658</v>
      </c>
      <c r="Z12" t="str">
        <f t="shared" si="16"/>
        <v xml:space="preserve"> Western Europe </v>
      </c>
      <c r="AA12" t="str">
        <f t="shared" si="17"/>
        <v xml:space="preserve"> 25.0% </v>
      </c>
      <c r="AB12" t="s">
        <v>811</v>
      </c>
      <c r="AC12" t="str">
        <f t="shared" si="18"/>
        <v xml:space="preserve"> Western Europe </v>
      </c>
      <c r="AD12" t="str">
        <f t="shared" si="19"/>
        <v xml:space="preserve"> 22.0% </v>
      </c>
      <c r="AF12" t="s">
        <v>537</v>
      </c>
      <c r="AG12" t="str">
        <f t="shared" si="20"/>
        <v xml:space="preserve"> Western Europe </v>
      </c>
      <c r="AH12" t="str">
        <f t="shared" si="21"/>
        <v xml:space="preserve"> 17.0% </v>
      </c>
      <c r="AI12" t="s">
        <v>724</v>
      </c>
      <c r="AK12" t="str">
        <f t="shared" si="22"/>
        <v xml:space="preserve"> Western Europe </v>
      </c>
      <c r="AL12" t="str">
        <f t="shared" si="23"/>
        <v xml:space="preserve"> 20.0% </v>
      </c>
      <c r="AM12" t="s">
        <v>724</v>
      </c>
      <c r="AN12" t="s">
        <v>0</v>
      </c>
      <c r="AO12" t="str">
        <f t="shared" si="24"/>
        <v xml:space="preserve"> 20.0% </v>
      </c>
      <c r="AP12" t="s">
        <v>811</v>
      </c>
      <c r="AQ12" t="str">
        <f t="shared" si="25"/>
        <v xml:space="preserve"> Western Europe </v>
      </c>
      <c r="AR12" t="str">
        <f t="shared" si="26"/>
        <v xml:space="preserve"> 22.0% </v>
      </c>
      <c r="AS12" t="s">
        <v>1040</v>
      </c>
      <c r="AT12" t="str">
        <f t="shared" si="27"/>
        <v xml:space="preserve"> Western Europe </v>
      </c>
      <c r="AU12" t="str">
        <f t="shared" si="28"/>
        <v xml:space="preserve"> 28.0% </v>
      </c>
      <c r="AV12" t="s">
        <v>1087</v>
      </c>
      <c r="AW12" t="str">
        <f t="shared" si="29"/>
        <v>Western Europe</v>
      </c>
      <c r="AX12" t="str">
        <f t="shared" si="30"/>
        <v xml:space="preserve"> 22.0% </v>
      </c>
    </row>
    <row r="13" spans="1:50" x14ac:dyDescent="0.45">
      <c r="A13" t="s">
        <v>11</v>
      </c>
      <c r="B13" t="str">
        <f t="shared" si="0"/>
        <v/>
      </c>
      <c r="C13" t="str">
        <f t="shared" si="1"/>
        <v/>
      </c>
      <c r="D13" t="s">
        <v>183</v>
      </c>
      <c r="E13" t="str">
        <f t="shared" si="2"/>
        <v/>
      </c>
      <c r="F13" t="str">
        <f t="shared" si="3"/>
        <v/>
      </c>
      <c r="G13" t="s">
        <v>11</v>
      </c>
      <c r="H13" t="str">
        <f t="shared" si="4"/>
        <v/>
      </c>
      <c r="I13" t="str">
        <f t="shared" si="5"/>
        <v/>
      </c>
      <c r="J13" t="s">
        <v>11</v>
      </c>
      <c r="K13" t="str">
        <f t="shared" si="6"/>
        <v/>
      </c>
      <c r="L13" t="str">
        <f t="shared" si="7"/>
        <v/>
      </c>
      <c r="M13" t="s">
        <v>11</v>
      </c>
      <c r="N13" t="str">
        <f t="shared" si="8"/>
        <v/>
      </c>
      <c r="O13" t="str">
        <f t="shared" si="9"/>
        <v/>
      </c>
      <c r="P13" t="s">
        <v>11</v>
      </c>
      <c r="Q13" t="str">
        <f t="shared" si="10"/>
        <v/>
      </c>
      <c r="R13" t="str">
        <f t="shared" si="11"/>
        <v/>
      </c>
      <c r="S13" t="s">
        <v>662</v>
      </c>
      <c r="T13" t="str">
        <f t="shared" si="12"/>
        <v/>
      </c>
      <c r="U13" t="str">
        <f t="shared" si="13"/>
        <v/>
      </c>
      <c r="V13" t="s">
        <v>662</v>
      </c>
      <c r="W13" t="str">
        <f t="shared" si="14"/>
        <v/>
      </c>
      <c r="X13" t="str">
        <f t="shared" si="15"/>
        <v/>
      </c>
      <c r="Y13" t="s">
        <v>11</v>
      </c>
      <c r="Z13" t="str">
        <f t="shared" si="16"/>
        <v/>
      </c>
      <c r="AA13" t="str">
        <f t="shared" si="17"/>
        <v/>
      </c>
      <c r="AB13" t="s">
        <v>11</v>
      </c>
      <c r="AC13" t="str">
        <f t="shared" si="18"/>
        <v/>
      </c>
      <c r="AD13" t="str">
        <f t="shared" si="19"/>
        <v/>
      </c>
      <c r="AF13" t="s">
        <v>11</v>
      </c>
      <c r="AG13" t="str">
        <f t="shared" si="20"/>
        <v/>
      </c>
      <c r="AH13" t="str">
        <f t="shared" si="21"/>
        <v/>
      </c>
      <c r="AI13" t="s">
        <v>11</v>
      </c>
      <c r="AK13" t="str">
        <f t="shared" si="22"/>
        <v/>
      </c>
      <c r="AL13" t="str">
        <f t="shared" si="23"/>
        <v/>
      </c>
      <c r="AM13" t="s">
        <v>11</v>
      </c>
      <c r="AN13" t="s">
        <v>0</v>
      </c>
      <c r="AO13" t="str">
        <f t="shared" si="24"/>
        <v/>
      </c>
      <c r="AP13" t="s">
        <v>11</v>
      </c>
      <c r="AQ13" t="str">
        <f t="shared" si="25"/>
        <v/>
      </c>
      <c r="AR13" t="str">
        <f t="shared" si="26"/>
        <v/>
      </c>
      <c r="AS13" t="s">
        <v>11</v>
      </c>
      <c r="AT13" t="str">
        <f t="shared" si="27"/>
        <v/>
      </c>
      <c r="AU13" t="str">
        <f t="shared" si="28"/>
        <v/>
      </c>
      <c r="AV13" t="s">
        <v>1088</v>
      </c>
      <c r="AW13" t="str">
        <f t="shared" si="29"/>
        <v/>
      </c>
      <c r="AX13" t="str">
        <f t="shared" si="30"/>
        <v/>
      </c>
    </row>
    <row r="14" spans="1:50" x14ac:dyDescent="0.45">
      <c r="A14" t="s">
        <v>12</v>
      </c>
      <c r="B14" t="str">
        <f t="shared" si="0"/>
        <v xml:space="preserve"> Triple play </v>
      </c>
      <c r="C14" t="str">
        <f t="shared" si="1"/>
        <v xml:space="preserve"> 25.0% </v>
      </c>
      <c r="D14" t="s">
        <v>184</v>
      </c>
      <c r="E14" t="str">
        <f t="shared" si="2"/>
        <v xml:space="preserve"> Triple play </v>
      </c>
      <c r="F14" t="str">
        <f t="shared" si="3"/>
        <v xml:space="preserve"> 14.0% </v>
      </c>
      <c r="G14" t="s">
        <v>337</v>
      </c>
      <c r="H14" t="str">
        <f t="shared" si="4"/>
        <v xml:space="preserve"> Triple play </v>
      </c>
      <c r="I14" t="str">
        <f t="shared" si="5"/>
        <v xml:space="preserve"> 15.0% </v>
      </c>
      <c r="J14" t="s">
        <v>337</v>
      </c>
      <c r="K14" t="str">
        <f t="shared" si="6"/>
        <v xml:space="preserve"> Triple play </v>
      </c>
      <c r="L14" t="str">
        <f t="shared" si="7"/>
        <v xml:space="preserve"> 15.0% </v>
      </c>
      <c r="M14" t="s">
        <v>184</v>
      </c>
      <c r="N14" t="str">
        <f t="shared" si="8"/>
        <v xml:space="preserve"> Triple play </v>
      </c>
      <c r="O14" t="str">
        <f t="shared" si="9"/>
        <v xml:space="preserve"> 14.0% </v>
      </c>
      <c r="P14" t="s">
        <v>602</v>
      </c>
      <c r="Q14" t="str">
        <f t="shared" si="10"/>
        <v xml:space="preserve"> Triple play </v>
      </c>
      <c r="R14" t="str">
        <f t="shared" si="11"/>
        <v xml:space="preserve"> 12.0% </v>
      </c>
      <c r="S14" t="s">
        <v>663</v>
      </c>
      <c r="T14" t="str">
        <f t="shared" si="12"/>
        <v xml:space="preserve"> Mobility services </v>
      </c>
      <c r="U14" t="str">
        <f t="shared" si="13"/>
        <v xml:space="preserve"> 25.0% </v>
      </c>
      <c r="V14" t="s">
        <v>337</v>
      </c>
      <c r="W14" t="str">
        <f t="shared" si="14"/>
        <v xml:space="preserve"> Triple play </v>
      </c>
      <c r="X14" t="str">
        <f t="shared" si="15"/>
        <v xml:space="preserve"> 15.0% </v>
      </c>
      <c r="Y14" t="s">
        <v>602</v>
      </c>
      <c r="Z14" t="str">
        <f t="shared" si="16"/>
        <v xml:space="preserve"> Triple play </v>
      </c>
      <c r="AA14" t="str">
        <f t="shared" si="17"/>
        <v xml:space="preserve"> 12.0% </v>
      </c>
      <c r="AB14" t="s">
        <v>812</v>
      </c>
      <c r="AC14" t="str">
        <f t="shared" si="18"/>
        <v xml:space="preserve"> Triple play </v>
      </c>
      <c r="AD14" t="str">
        <f t="shared" si="19"/>
        <v xml:space="preserve"> 6.0% </v>
      </c>
      <c r="AF14" t="s">
        <v>842</v>
      </c>
      <c r="AG14" t="str">
        <f t="shared" si="20"/>
        <v xml:space="preserve"> Triple play </v>
      </c>
      <c r="AH14" t="str">
        <f t="shared" si="21"/>
        <v xml:space="preserve"> 18.0% </v>
      </c>
      <c r="AI14" t="s">
        <v>602</v>
      </c>
      <c r="AK14" t="str">
        <f t="shared" si="22"/>
        <v xml:space="preserve"> Triple play </v>
      </c>
      <c r="AL14" t="str">
        <f t="shared" si="23"/>
        <v xml:space="preserve"> 12.0% </v>
      </c>
      <c r="AM14" t="s">
        <v>602</v>
      </c>
      <c r="AN14" t="s">
        <v>0</v>
      </c>
      <c r="AO14" t="str">
        <f t="shared" si="24"/>
        <v xml:space="preserve"> 12.0% </v>
      </c>
      <c r="AP14" t="s">
        <v>184</v>
      </c>
      <c r="AQ14" t="str">
        <f t="shared" si="25"/>
        <v xml:space="preserve"> Triple play </v>
      </c>
      <c r="AR14" t="str">
        <f t="shared" si="26"/>
        <v xml:space="preserve"> 14.0% </v>
      </c>
      <c r="AS14" t="s">
        <v>665</v>
      </c>
      <c r="AT14" t="str">
        <f t="shared" si="27"/>
        <v xml:space="preserve"> Triple play </v>
      </c>
      <c r="AU14" t="str">
        <f t="shared" si="28"/>
        <v xml:space="preserve"> 8.0% </v>
      </c>
      <c r="AV14" t="s">
        <v>1089</v>
      </c>
      <c r="AW14" t="str">
        <f t="shared" si="29"/>
        <v>Triple play</v>
      </c>
      <c r="AX14" t="str">
        <f t="shared" si="30"/>
        <v xml:space="preserve"> 15.0% </v>
      </c>
    </row>
    <row r="15" spans="1:50" x14ac:dyDescent="0.45">
      <c r="A15" t="s">
        <v>13</v>
      </c>
      <c r="B15" t="str">
        <f t="shared" si="0"/>
        <v xml:space="preserve"> MVNO </v>
      </c>
      <c r="C15" t="str">
        <f t="shared" si="1"/>
        <v xml:space="preserve"> 12.0% </v>
      </c>
      <c r="D15" t="s">
        <v>185</v>
      </c>
      <c r="E15" t="str">
        <f t="shared" si="2"/>
        <v xml:space="preserve"> MVNO </v>
      </c>
      <c r="F15" t="str">
        <f t="shared" si="3"/>
        <v xml:space="preserve"> 5.0% </v>
      </c>
      <c r="G15" t="s">
        <v>538</v>
      </c>
      <c r="H15" t="str">
        <f t="shared" si="4"/>
        <v xml:space="preserve"> MVNO </v>
      </c>
      <c r="I15" t="str">
        <f t="shared" si="5"/>
        <v xml:space="preserve"> 6.0% </v>
      </c>
      <c r="J15" t="s">
        <v>338</v>
      </c>
      <c r="K15" t="str">
        <f t="shared" si="6"/>
        <v xml:space="preserve"> MVNO </v>
      </c>
      <c r="L15" t="str">
        <f t="shared" si="7"/>
        <v xml:space="preserve"> 10.0% </v>
      </c>
      <c r="M15" t="s">
        <v>418</v>
      </c>
      <c r="N15" t="str">
        <f t="shared" si="8"/>
        <v xml:space="preserve"> MVNO </v>
      </c>
      <c r="O15" t="str">
        <f t="shared" si="9"/>
        <v xml:space="preserve"> 7.0% </v>
      </c>
      <c r="P15" t="s">
        <v>603</v>
      </c>
      <c r="Q15" t="str">
        <f t="shared" si="10"/>
        <v xml:space="preserve"> MVNO </v>
      </c>
      <c r="R15" t="str">
        <f t="shared" si="11"/>
        <v xml:space="preserve"> 4.0% </v>
      </c>
      <c r="S15" t="s">
        <v>340</v>
      </c>
      <c r="T15" t="str">
        <f t="shared" si="12"/>
        <v xml:space="preserve"> Operator / Wholesale services </v>
      </c>
      <c r="U15" t="str">
        <f t="shared" si="13"/>
        <v xml:space="preserve"> 20.0% </v>
      </c>
      <c r="V15" t="s">
        <v>185</v>
      </c>
      <c r="W15" t="str">
        <f t="shared" si="14"/>
        <v xml:space="preserve"> MVNO </v>
      </c>
      <c r="X15" t="str">
        <f t="shared" si="15"/>
        <v xml:space="preserve"> 5.0% </v>
      </c>
      <c r="Y15" t="s">
        <v>778</v>
      </c>
      <c r="Z15" t="str">
        <f t="shared" si="16"/>
        <v xml:space="preserve"> MVNO </v>
      </c>
      <c r="AA15" t="str">
        <f t="shared" si="17"/>
        <v xml:space="preserve"> 8.0% </v>
      </c>
      <c r="AB15" t="s">
        <v>813</v>
      </c>
      <c r="AC15" t="str">
        <f t="shared" si="18"/>
        <v xml:space="preserve"> MVNO </v>
      </c>
      <c r="AD15" t="str">
        <f t="shared" si="19"/>
        <v xml:space="preserve"> 3.0% </v>
      </c>
      <c r="AF15" t="s">
        <v>538</v>
      </c>
      <c r="AG15" t="str">
        <f t="shared" si="20"/>
        <v xml:space="preserve"> MVNO </v>
      </c>
      <c r="AH15" t="str">
        <f t="shared" si="21"/>
        <v xml:space="preserve"> 6.0% </v>
      </c>
      <c r="AI15" t="s">
        <v>778</v>
      </c>
      <c r="AK15" t="str">
        <f t="shared" si="22"/>
        <v xml:space="preserve"> MVNO </v>
      </c>
      <c r="AL15" t="str">
        <f t="shared" si="23"/>
        <v xml:space="preserve"> 8.0% </v>
      </c>
      <c r="AM15" t="s">
        <v>920</v>
      </c>
      <c r="AN15" t="s">
        <v>0</v>
      </c>
      <c r="AO15" t="str">
        <f t="shared" si="24"/>
        <v xml:space="preserve"> 15.0% </v>
      </c>
      <c r="AP15" t="s">
        <v>778</v>
      </c>
      <c r="AQ15" t="str">
        <f t="shared" si="25"/>
        <v xml:space="preserve"> MVNO </v>
      </c>
      <c r="AR15" t="str">
        <f t="shared" si="26"/>
        <v xml:space="preserve"> 8.0% </v>
      </c>
      <c r="AS15" t="s">
        <v>185</v>
      </c>
      <c r="AT15" t="str">
        <f t="shared" si="27"/>
        <v xml:space="preserve"> MVNO </v>
      </c>
      <c r="AU15" t="str">
        <f t="shared" si="28"/>
        <v xml:space="preserve"> 5.0% </v>
      </c>
      <c r="AV15" t="s">
        <v>1090</v>
      </c>
      <c r="AW15" t="str">
        <f t="shared" si="29"/>
        <v>MVNO</v>
      </c>
      <c r="AX15" t="str">
        <f t="shared" si="30"/>
        <v xml:space="preserve"> 4.0% </v>
      </c>
    </row>
    <row r="16" spans="1:50" x14ac:dyDescent="0.45">
      <c r="A16" t="s">
        <v>14</v>
      </c>
      <c r="B16" t="str">
        <f t="shared" si="0"/>
        <v xml:space="preserve"> IoT Connectivity Supplier </v>
      </c>
      <c r="C16" t="str">
        <f t="shared" si="1"/>
        <v xml:space="preserve"> 5.0% </v>
      </c>
      <c r="D16" t="s">
        <v>186</v>
      </c>
      <c r="E16" t="str">
        <f t="shared" si="2"/>
        <v xml:space="preserve"> IoT Connectivity Supplier </v>
      </c>
      <c r="F16" t="str">
        <f t="shared" si="3"/>
        <v xml:space="preserve"> 3.0% </v>
      </c>
      <c r="G16" t="s">
        <v>186</v>
      </c>
      <c r="H16" t="str">
        <f t="shared" si="4"/>
        <v xml:space="preserve"> IoT Connectivity Supplier </v>
      </c>
      <c r="I16" t="str">
        <f t="shared" si="5"/>
        <v xml:space="preserve"> 3.0% </v>
      </c>
      <c r="J16" t="s">
        <v>14</v>
      </c>
      <c r="K16" t="str">
        <f t="shared" si="6"/>
        <v xml:space="preserve"> IoT Connectivity Supplier </v>
      </c>
      <c r="L16" t="str">
        <f t="shared" si="7"/>
        <v xml:space="preserve"> 5.0% </v>
      </c>
      <c r="M16" t="s">
        <v>14</v>
      </c>
      <c r="N16" t="str">
        <f t="shared" si="8"/>
        <v xml:space="preserve"> IoT Connectivity Supplier </v>
      </c>
      <c r="O16" t="str">
        <f t="shared" si="9"/>
        <v xml:space="preserve"> 5.0% </v>
      </c>
      <c r="P16" t="s">
        <v>604</v>
      </c>
      <c r="Q16" t="str">
        <f t="shared" si="10"/>
        <v xml:space="preserve"> Io T Connectivity Supplier </v>
      </c>
      <c r="R16" t="str">
        <f t="shared" si="11"/>
        <v xml:space="preserve"> 3.0% </v>
      </c>
      <c r="S16" t="s">
        <v>542</v>
      </c>
      <c r="T16" t="str">
        <f t="shared" si="12"/>
        <v xml:space="preserve"> Fixed Line telephony &amp; Internet connections </v>
      </c>
      <c r="U16" t="str">
        <f t="shared" si="13"/>
        <v xml:space="preserve"> 15.0% </v>
      </c>
      <c r="V16" t="s">
        <v>14</v>
      </c>
      <c r="W16" t="str">
        <f t="shared" si="14"/>
        <v xml:space="preserve"> IoT Connectivity Supplier </v>
      </c>
      <c r="X16" t="str">
        <f t="shared" si="15"/>
        <v xml:space="preserve"> 5.0% </v>
      </c>
      <c r="Y16" t="s">
        <v>14</v>
      </c>
      <c r="Z16" t="str">
        <f t="shared" si="16"/>
        <v xml:space="preserve"> IoT Connectivity Supplier </v>
      </c>
      <c r="AA16" t="str">
        <f t="shared" si="17"/>
        <v xml:space="preserve"> 5.0% </v>
      </c>
      <c r="AB16" t="s">
        <v>814</v>
      </c>
      <c r="AC16" t="str">
        <f t="shared" si="18"/>
        <v xml:space="preserve"> IoT Connectivity Supplier </v>
      </c>
      <c r="AD16" t="str">
        <f t="shared" si="19"/>
        <v xml:space="preserve"> 2.0% </v>
      </c>
      <c r="AF16" t="s">
        <v>14</v>
      </c>
      <c r="AG16" t="str">
        <f t="shared" si="20"/>
        <v xml:space="preserve"> IoT Connectivity Supplier </v>
      </c>
      <c r="AH16" t="str">
        <f t="shared" si="21"/>
        <v xml:space="preserve"> 5.0% </v>
      </c>
      <c r="AI16" t="s">
        <v>945</v>
      </c>
      <c r="AK16" t="str">
        <f t="shared" si="22"/>
        <v xml:space="preserve"> IoT Connectivity Supplier </v>
      </c>
      <c r="AL16" t="str">
        <f t="shared" si="23"/>
        <v xml:space="preserve"> 4.0% </v>
      </c>
      <c r="AM16" t="s">
        <v>14</v>
      </c>
      <c r="AN16" t="s">
        <v>0</v>
      </c>
      <c r="AO16" t="str">
        <f t="shared" si="24"/>
        <v xml:space="preserve"> 5.0% </v>
      </c>
      <c r="AP16" t="s">
        <v>977</v>
      </c>
      <c r="AQ16" t="str">
        <f t="shared" si="25"/>
        <v xml:space="preserve"> IoT Connectivity Supplier </v>
      </c>
      <c r="AR16" t="str">
        <f t="shared" si="26"/>
        <v xml:space="preserve"> 6.0% </v>
      </c>
      <c r="AS16" t="s">
        <v>977</v>
      </c>
      <c r="AT16" t="str">
        <f t="shared" si="27"/>
        <v xml:space="preserve"> IoT Connectivity Supplier </v>
      </c>
      <c r="AU16" t="str">
        <f t="shared" si="28"/>
        <v xml:space="preserve"> 6.0% </v>
      </c>
      <c r="AV16" t="s">
        <v>1091</v>
      </c>
      <c r="AW16" t="str">
        <f t="shared" si="29"/>
        <v>IoT Connectivity Supplier</v>
      </c>
      <c r="AX16" t="str">
        <f t="shared" si="30"/>
        <v xml:space="preserve"> 12.0% </v>
      </c>
    </row>
    <row r="17" spans="1:50" x14ac:dyDescent="0.45">
      <c r="A17" t="s">
        <v>15</v>
      </c>
      <c r="B17" t="str">
        <f t="shared" si="0"/>
        <v xml:space="preserve"> Other services </v>
      </c>
      <c r="C17" t="str">
        <f t="shared" si="1"/>
        <v xml:space="preserve"> 8.0% </v>
      </c>
      <c r="D17" t="s">
        <v>187</v>
      </c>
      <c r="E17" t="str">
        <f t="shared" si="2"/>
        <v xml:space="preserve"> Other services </v>
      </c>
      <c r="F17" t="str">
        <f t="shared" si="3"/>
        <v xml:space="preserve"> 7.0% </v>
      </c>
      <c r="G17" t="s">
        <v>15</v>
      </c>
      <c r="H17" t="str">
        <f t="shared" si="4"/>
        <v xml:space="preserve"> Other services </v>
      </c>
      <c r="I17" t="str">
        <f t="shared" si="5"/>
        <v xml:space="preserve"> 8.0% </v>
      </c>
      <c r="J17" t="s">
        <v>339</v>
      </c>
      <c r="K17" t="str">
        <f t="shared" si="6"/>
        <v xml:space="preserve"> Other services </v>
      </c>
      <c r="L17" t="str">
        <f t="shared" si="7"/>
        <v xml:space="preserve"> 10.0% </v>
      </c>
      <c r="M17" t="s">
        <v>419</v>
      </c>
      <c r="N17" t="str">
        <f t="shared" si="8"/>
        <v xml:space="preserve"> Other services </v>
      </c>
      <c r="O17" t="str">
        <f t="shared" si="9"/>
        <v xml:space="preserve"> 6.0% </v>
      </c>
      <c r="P17" t="s">
        <v>605</v>
      </c>
      <c r="Q17" t="str">
        <f t="shared" si="10"/>
        <v xml:space="preserve"> Other services </v>
      </c>
      <c r="R17" t="str">
        <f t="shared" si="11"/>
        <v xml:space="preserve"> 5.0% </v>
      </c>
      <c r="S17" t="s">
        <v>664</v>
      </c>
      <c r="T17" t="str">
        <f t="shared" si="12"/>
        <v xml:space="preserve"> Cable business e.g., line rental / Fiber sales </v>
      </c>
      <c r="U17" t="str">
        <f t="shared" si="13"/>
        <v xml:space="preserve"> 12.0% </v>
      </c>
      <c r="V17" t="s">
        <v>605</v>
      </c>
      <c r="W17" t="str">
        <f t="shared" si="14"/>
        <v xml:space="preserve"> Other services </v>
      </c>
      <c r="X17" t="str">
        <f t="shared" si="15"/>
        <v xml:space="preserve"> 5.0% </v>
      </c>
      <c r="Y17" t="s">
        <v>339</v>
      </c>
      <c r="Z17" t="str">
        <f t="shared" si="16"/>
        <v xml:space="preserve"> Other services </v>
      </c>
      <c r="AA17" t="str">
        <f t="shared" si="17"/>
        <v xml:space="preserve"> 10.0% </v>
      </c>
      <c r="AB17" t="s">
        <v>668</v>
      </c>
      <c r="AC17" t="str">
        <f t="shared" si="18"/>
        <v xml:space="preserve"> Other services </v>
      </c>
      <c r="AD17" t="str">
        <f t="shared" si="19"/>
        <v xml:space="preserve"> 4.0% </v>
      </c>
      <c r="AF17" t="s">
        <v>15</v>
      </c>
      <c r="AG17" t="str">
        <f t="shared" si="20"/>
        <v xml:space="preserve"> Other services </v>
      </c>
      <c r="AH17" t="str">
        <f t="shared" si="21"/>
        <v xml:space="preserve"> 8.0% </v>
      </c>
      <c r="AI17" t="s">
        <v>946</v>
      </c>
      <c r="AK17" t="str">
        <f t="shared" si="22"/>
        <v xml:space="preserve"> Other services </v>
      </c>
      <c r="AL17" t="str">
        <f t="shared" si="23"/>
        <v xml:space="preserve"> 2.0% </v>
      </c>
      <c r="AM17" t="s">
        <v>668</v>
      </c>
      <c r="AN17" t="s">
        <v>0</v>
      </c>
      <c r="AO17" t="str">
        <f t="shared" si="24"/>
        <v xml:space="preserve"> 4.0% </v>
      </c>
      <c r="AP17" t="s">
        <v>419</v>
      </c>
      <c r="AQ17" t="str">
        <f t="shared" si="25"/>
        <v xml:space="preserve"> Other services </v>
      </c>
      <c r="AR17" t="str">
        <f t="shared" si="26"/>
        <v xml:space="preserve"> 6.0% </v>
      </c>
      <c r="AS17" t="s">
        <v>1041</v>
      </c>
      <c r="AT17" t="str">
        <f t="shared" si="27"/>
        <v xml:space="preserve"> Other services </v>
      </c>
      <c r="AU17" t="str">
        <f t="shared" si="28"/>
        <v xml:space="preserve"> 3.0% </v>
      </c>
      <c r="AV17" t="s">
        <v>1092</v>
      </c>
      <c r="AW17" t="str">
        <f t="shared" si="29"/>
        <v>Other services</v>
      </c>
      <c r="AX17" t="str">
        <f t="shared" si="30"/>
        <v xml:space="preserve"> 10.0% </v>
      </c>
    </row>
    <row r="18" spans="1:50" x14ac:dyDescent="0.45">
      <c r="A18" t="s">
        <v>16</v>
      </c>
      <c r="B18" t="str">
        <f t="shared" si="0"/>
        <v xml:space="preserve"> Operator / Wholesale services </v>
      </c>
      <c r="C18" t="str">
        <f t="shared" si="1"/>
        <v xml:space="preserve"> 10.0% </v>
      </c>
      <c r="D18" t="s">
        <v>188</v>
      </c>
      <c r="E18" t="str">
        <f t="shared" si="2"/>
        <v xml:space="preserve"> Operator / Wholesale services </v>
      </c>
      <c r="F18" t="str">
        <f t="shared" si="3"/>
        <v xml:space="preserve"> 28.0% </v>
      </c>
      <c r="G18" t="s">
        <v>539</v>
      </c>
      <c r="H18" t="str">
        <f t="shared" si="4"/>
        <v xml:space="preserve"> Operator / Wholesale services </v>
      </c>
      <c r="I18" t="str">
        <f t="shared" si="5"/>
        <v xml:space="preserve"> 12.0% </v>
      </c>
      <c r="J18" t="s">
        <v>340</v>
      </c>
      <c r="K18" t="str">
        <f t="shared" si="6"/>
        <v xml:space="preserve"> Operator / Wholesale services </v>
      </c>
      <c r="L18" t="str">
        <f t="shared" si="7"/>
        <v xml:space="preserve"> 20.0% </v>
      </c>
      <c r="M18" t="s">
        <v>188</v>
      </c>
      <c r="N18" t="str">
        <f t="shared" si="8"/>
        <v xml:space="preserve"> Operator / Wholesale services </v>
      </c>
      <c r="O18" t="str">
        <f t="shared" si="9"/>
        <v xml:space="preserve"> 28.0% </v>
      </c>
      <c r="P18" t="s">
        <v>16</v>
      </c>
      <c r="Q18" t="str">
        <f t="shared" si="10"/>
        <v xml:space="preserve"> Operator / Wholesale services </v>
      </c>
      <c r="R18" t="str">
        <f t="shared" si="11"/>
        <v xml:space="preserve"> 10.0% </v>
      </c>
      <c r="S18" t="s">
        <v>665</v>
      </c>
      <c r="T18" t="str">
        <f t="shared" si="12"/>
        <v xml:space="preserve"> Triple play </v>
      </c>
      <c r="U18" t="str">
        <f t="shared" si="13"/>
        <v xml:space="preserve"> 8.0% </v>
      </c>
      <c r="V18" t="s">
        <v>16</v>
      </c>
      <c r="W18" t="str">
        <f t="shared" si="14"/>
        <v xml:space="preserve"> Operator / Wholesale services </v>
      </c>
      <c r="X18" t="str">
        <f t="shared" si="15"/>
        <v xml:space="preserve"> 10.0% </v>
      </c>
      <c r="Y18" t="s">
        <v>340</v>
      </c>
      <c r="Z18" t="str">
        <f t="shared" si="16"/>
        <v xml:space="preserve"> Operator / Wholesale services </v>
      </c>
      <c r="AA18" t="str">
        <f t="shared" si="17"/>
        <v xml:space="preserve"> 20.0% </v>
      </c>
      <c r="AB18" t="s">
        <v>815</v>
      </c>
      <c r="AC18" t="str">
        <f t="shared" si="18"/>
        <v xml:space="preserve"> Operator / Wholesale services </v>
      </c>
      <c r="AD18" t="str">
        <f t="shared" si="19"/>
        <v xml:space="preserve"> 42.0% </v>
      </c>
      <c r="AF18" t="s">
        <v>843</v>
      </c>
      <c r="AG18" t="str">
        <f t="shared" si="20"/>
        <v xml:space="preserve"> Operator / Wholesale services </v>
      </c>
      <c r="AH18" t="str">
        <f t="shared" si="21"/>
        <v xml:space="preserve"> 22.0% </v>
      </c>
      <c r="AI18" t="s">
        <v>947</v>
      </c>
      <c r="AK18" t="str">
        <f t="shared" si="22"/>
        <v xml:space="preserve"> Operator / Wholesale services </v>
      </c>
      <c r="AL18" t="str">
        <f t="shared" si="23"/>
        <v xml:space="preserve"> 15.0% </v>
      </c>
      <c r="AM18" t="s">
        <v>16</v>
      </c>
      <c r="AN18" t="s">
        <v>0</v>
      </c>
      <c r="AO18" t="str">
        <f t="shared" si="24"/>
        <v xml:space="preserve"> 10.0% </v>
      </c>
      <c r="AP18" t="s">
        <v>978</v>
      </c>
      <c r="AQ18" t="str">
        <f t="shared" si="25"/>
        <v xml:space="preserve"> Operator / Wholesale services </v>
      </c>
      <c r="AR18" t="str">
        <f t="shared" si="26"/>
        <v xml:space="preserve"> 18.0% </v>
      </c>
      <c r="AS18" t="s">
        <v>843</v>
      </c>
      <c r="AT18" t="str">
        <f t="shared" si="27"/>
        <v xml:space="preserve"> Operator / Wholesale services </v>
      </c>
      <c r="AU18" t="str">
        <f t="shared" si="28"/>
        <v xml:space="preserve"> 22.0% </v>
      </c>
      <c r="AV18" t="s">
        <v>1093</v>
      </c>
      <c r="AW18" t="str">
        <f t="shared" si="29"/>
        <v>Operator / Wholesale services</v>
      </c>
      <c r="AX18" t="str">
        <f t="shared" si="30"/>
        <v xml:space="preserve"> 25.0% </v>
      </c>
    </row>
    <row r="19" spans="1:50" x14ac:dyDescent="0.45">
      <c r="A19" t="s">
        <v>17</v>
      </c>
      <c r="B19" t="str">
        <f t="shared" si="0"/>
        <v xml:space="preserve"> Cable business e.g., line rental / Fiber sales </v>
      </c>
      <c r="C19" t="str">
        <f t="shared" si="1"/>
        <v xml:space="preserve"> 5.0% </v>
      </c>
      <c r="D19" t="s">
        <v>189</v>
      </c>
      <c r="E19" t="str">
        <f t="shared" si="2"/>
        <v xml:space="preserve"> Cable business e.g., line rental / Fiber sales </v>
      </c>
      <c r="F19" t="str">
        <f t="shared" si="3"/>
        <v xml:space="preserve"> 8.0% </v>
      </c>
      <c r="G19" t="s">
        <v>540</v>
      </c>
      <c r="H19" t="str">
        <f t="shared" si="4"/>
        <v xml:space="preserve"> Cable business e.g., line rental / Fiber sales </v>
      </c>
      <c r="I19" t="str">
        <f t="shared" si="5"/>
        <v xml:space="preserve"> 7.0% </v>
      </c>
      <c r="J19" t="s">
        <v>341</v>
      </c>
      <c r="K19" t="str">
        <f t="shared" si="6"/>
        <v xml:space="preserve"> Cable business e.g., line rental / Fiber sales </v>
      </c>
      <c r="L19" t="str">
        <f t="shared" si="7"/>
        <v xml:space="preserve"> 10.0% </v>
      </c>
      <c r="M19" t="s">
        <v>189</v>
      </c>
      <c r="N19" t="str">
        <f t="shared" si="8"/>
        <v xml:space="preserve"> Cable business e.g., line rental / Fiber sales </v>
      </c>
      <c r="O19" t="str">
        <f t="shared" si="9"/>
        <v xml:space="preserve"> 8.0% </v>
      </c>
      <c r="P19" t="s">
        <v>606</v>
      </c>
      <c r="Q19" t="str">
        <f t="shared" si="10"/>
        <v xml:space="preserve"> Cable business e.g., line rental / Fiber sales </v>
      </c>
      <c r="R19" t="str">
        <f t="shared" si="11"/>
        <v xml:space="preserve"> 6.0% </v>
      </c>
      <c r="S19" t="s">
        <v>666</v>
      </c>
      <c r="T19" t="str">
        <f t="shared" si="12"/>
        <v xml:space="preserve"> TV services (IP and cable) </v>
      </c>
      <c r="U19" t="str">
        <f t="shared" si="13"/>
        <v xml:space="preserve"> 7.0% </v>
      </c>
      <c r="V19" t="s">
        <v>189</v>
      </c>
      <c r="W19" t="str">
        <f t="shared" si="14"/>
        <v xml:space="preserve"> Cable business e.g., line rental / Fiber sales </v>
      </c>
      <c r="X19" t="str">
        <f t="shared" si="15"/>
        <v xml:space="preserve"> 8.0% </v>
      </c>
      <c r="Y19" t="s">
        <v>189</v>
      </c>
      <c r="Z19" t="str">
        <f t="shared" si="16"/>
        <v xml:space="preserve"> Cable business e.g., line rental / Fiber sales </v>
      </c>
      <c r="AA19" t="str">
        <f t="shared" si="17"/>
        <v xml:space="preserve"> 8.0% </v>
      </c>
      <c r="AB19" t="s">
        <v>17</v>
      </c>
      <c r="AC19" t="str">
        <f t="shared" si="18"/>
        <v xml:space="preserve"> Cable business e.g., line rental / Fiber sales </v>
      </c>
      <c r="AD19" t="str">
        <f t="shared" si="19"/>
        <v xml:space="preserve"> 5.0% </v>
      </c>
      <c r="AF19" t="s">
        <v>844</v>
      </c>
      <c r="AG19" t="str">
        <f t="shared" si="20"/>
        <v xml:space="preserve"> Cable business e.g., line rental / Fiber sales </v>
      </c>
      <c r="AH19" t="str">
        <f t="shared" si="21"/>
        <v xml:space="preserve"> 9.0% </v>
      </c>
      <c r="AI19" t="s">
        <v>540</v>
      </c>
      <c r="AK19" t="str">
        <f t="shared" si="22"/>
        <v xml:space="preserve"> Cable business e.g., line rental / Fiber sales </v>
      </c>
      <c r="AL19" t="str">
        <f t="shared" si="23"/>
        <v xml:space="preserve"> 7.0% </v>
      </c>
      <c r="AM19" t="s">
        <v>189</v>
      </c>
      <c r="AN19" t="s">
        <v>0</v>
      </c>
      <c r="AO19" t="str">
        <f t="shared" si="24"/>
        <v xml:space="preserve"> 8.0% </v>
      </c>
      <c r="AP19" t="s">
        <v>540</v>
      </c>
      <c r="AQ19" t="str">
        <f t="shared" si="25"/>
        <v xml:space="preserve"> Cable business e.g., line rental / Fiber sales </v>
      </c>
      <c r="AR19" t="str">
        <f t="shared" si="26"/>
        <v xml:space="preserve"> 7.0% </v>
      </c>
      <c r="AS19" t="s">
        <v>606</v>
      </c>
      <c r="AT19" t="str">
        <f t="shared" si="27"/>
        <v xml:space="preserve"> Cable business e.g., line rental / Fiber sales </v>
      </c>
      <c r="AU19" t="str">
        <f t="shared" si="28"/>
        <v xml:space="preserve"> 6.0% </v>
      </c>
      <c r="AV19" t="s">
        <v>1094</v>
      </c>
      <c r="AW19" t="str">
        <f t="shared" si="29"/>
        <v>Cable business e.g., line rental / Fiber sales</v>
      </c>
      <c r="AX19" t="str">
        <f t="shared" si="30"/>
        <v xml:space="preserve"> 5.0% </v>
      </c>
    </row>
    <row r="20" spans="1:50" x14ac:dyDescent="0.45">
      <c r="A20" t="s">
        <v>18</v>
      </c>
      <c r="B20" t="str">
        <f t="shared" si="0"/>
        <v xml:space="preserve"> TV services (IP and cable) </v>
      </c>
      <c r="C20" t="str">
        <f t="shared" si="1"/>
        <v xml:space="preserve"> 3.0% </v>
      </c>
      <c r="D20" t="s">
        <v>190</v>
      </c>
      <c r="E20" t="str">
        <f t="shared" si="2"/>
        <v xml:space="preserve"> TV services (IP and cable) </v>
      </c>
      <c r="F20" t="str">
        <f t="shared" si="3"/>
        <v xml:space="preserve"> 4.0% </v>
      </c>
      <c r="G20" t="s">
        <v>190</v>
      </c>
      <c r="H20" t="str">
        <f t="shared" si="4"/>
        <v xml:space="preserve"> TV services (IP and cable) </v>
      </c>
      <c r="I20" t="str">
        <f t="shared" si="5"/>
        <v xml:space="preserve"> 4.0% </v>
      </c>
      <c r="J20" t="s">
        <v>342</v>
      </c>
      <c r="K20" t="str">
        <f t="shared" si="6"/>
        <v xml:space="preserve"> TV services (IP and cable) </v>
      </c>
      <c r="L20" t="str">
        <f t="shared" si="7"/>
        <v xml:space="preserve"> 5.0% </v>
      </c>
      <c r="M20" t="s">
        <v>342</v>
      </c>
      <c r="N20" t="str">
        <f t="shared" si="8"/>
        <v xml:space="preserve"> TV services (IP and cable) </v>
      </c>
      <c r="O20" t="str">
        <f t="shared" si="9"/>
        <v xml:space="preserve"> 5.0% </v>
      </c>
      <c r="P20" t="s">
        <v>607</v>
      </c>
      <c r="Q20" t="str">
        <f t="shared" si="10"/>
        <v xml:space="preserve"> TV services (IP and cable) </v>
      </c>
      <c r="R20" t="str">
        <f t="shared" si="11"/>
        <v xml:space="preserve"> 2.0% </v>
      </c>
      <c r="S20" t="s">
        <v>667</v>
      </c>
      <c r="T20" t="str">
        <f t="shared" si="12"/>
        <v xml:space="preserve"> MV NO </v>
      </c>
      <c r="U20" t="str">
        <f t="shared" si="13"/>
        <v xml:space="preserve"> 6.0% </v>
      </c>
      <c r="V20" t="s">
        <v>666</v>
      </c>
      <c r="W20" t="str">
        <f t="shared" si="14"/>
        <v xml:space="preserve"> TV services (IP and cable) </v>
      </c>
      <c r="X20" t="str">
        <f t="shared" si="15"/>
        <v xml:space="preserve"> 7.0% </v>
      </c>
      <c r="Y20" t="s">
        <v>666</v>
      </c>
      <c r="Z20" t="str">
        <f t="shared" si="16"/>
        <v xml:space="preserve"> TV services (IP and cable) </v>
      </c>
      <c r="AA20" t="str">
        <f t="shared" si="17"/>
        <v xml:space="preserve"> 7.0% </v>
      </c>
      <c r="AB20" t="s">
        <v>190</v>
      </c>
      <c r="AC20" t="str">
        <f t="shared" si="18"/>
        <v xml:space="preserve"> TV services (IP and cable) </v>
      </c>
      <c r="AD20" t="str">
        <f t="shared" si="19"/>
        <v xml:space="preserve"> 4.0% </v>
      </c>
      <c r="AF20" t="s">
        <v>666</v>
      </c>
      <c r="AG20" t="str">
        <f t="shared" si="20"/>
        <v xml:space="preserve"> TV services (IP and cable) </v>
      </c>
      <c r="AH20" t="str">
        <f t="shared" si="21"/>
        <v xml:space="preserve"> 7.0% </v>
      </c>
      <c r="AI20" t="s">
        <v>342</v>
      </c>
      <c r="AK20" t="str">
        <f t="shared" si="22"/>
        <v xml:space="preserve"> TV services (IP and cable) </v>
      </c>
      <c r="AL20" t="str">
        <f t="shared" si="23"/>
        <v xml:space="preserve"> 5.0% </v>
      </c>
      <c r="AM20" t="s">
        <v>921</v>
      </c>
      <c r="AN20" t="s">
        <v>0</v>
      </c>
      <c r="AO20" t="str">
        <f t="shared" si="24"/>
        <v xml:space="preserve"> 6.0% </v>
      </c>
      <c r="AP20" t="s">
        <v>342</v>
      </c>
      <c r="AQ20" t="str">
        <f t="shared" si="25"/>
        <v xml:space="preserve"> TV services (IP and cable) </v>
      </c>
      <c r="AR20" t="str">
        <f t="shared" si="26"/>
        <v xml:space="preserve"> 5.0% </v>
      </c>
      <c r="AS20" t="s">
        <v>18</v>
      </c>
      <c r="AT20" t="str">
        <f t="shared" si="27"/>
        <v xml:space="preserve"> TV services (IP and cable) </v>
      </c>
      <c r="AU20" t="str">
        <f t="shared" si="28"/>
        <v xml:space="preserve"> 3.0% </v>
      </c>
      <c r="AV20" t="s">
        <v>1095</v>
      </c>
      <c r="AW20" t="str">
        <f t="shared" si="29"/>
        <v>TV services (IP and cable)</v>
      </c>
      <c r="AX20" t="str">
        <f t="shared" si="30"/>
        <v xml:space="preserve"> 7.0% </v>
      </c>
    </row>
    <row r="21" spans="1:50" x14ac:dyDescent="0.45">
      <c r="A21" t="s">
        <v>19</v>
      </c>
      <c r="B21" t="str">
        <f t="shared" si="0"/>
        <v xml:space="preserve"> Mobility services </v>
      </c>
      <c r="C21" t="str">
        <f t="shared" si="1"/>
        <v xml:space="preserve"> 20.0% </v>
      </c>
      <c r="D21" t="s">
        <v>191</v>
      </c>
      <c r="E21" t="str">
        <f t="shared" si="2"/>
        <v xml:space="preserve"> Mobility services </v>
      </c>
      <c r="F21" t="str">
        <f t="shared" si="3"/>
        <v xml:space="preserve"> 18.0% </v>
      </c>
      <c r="G21" t="s">
        <v>541</v>
      </c>
      <c r="H21" t="str">
        <f t="shared" si="4"/>
        <v xml:space="preserve"> Mobility services </v>
      </c>
      <c r="I21" t="str">
        <f t="shared" si="5"/>
        <v xml:space="preserve"> 30.0% </v>
      </c>
      <c r="J21" t="s">
        <v>343</v>
      </c>
      <c r="K21" t="str">
        <f t="shared" si="6"/>
        <v xml:space="preserve"> Mobility services </v>
      </c>
      <c r="L21" t="str">
        <f t="shared" si="7"/>
        <v xml:space="preserve"> 15.0% </v>
      </c>
      <c r="M21" t="s">
        <v>420</v>
      </c>
      <c r="N21" t="str">
        <f t="shared" si="8"/>
        <v xml:space="preserve"> Mobility services </v>
      </c>
      <c r="O21" t="str">
        <f t="shared" si="9"/>
        <v xml:space="preserve"> 17.0% </v>
      </c>
      <c r="P21" t="s">
        <v>608</v>
      </c>
      <c r="Q21" t="str">
        <f t="shared" si="10"/>
        <v xml:space="preserve"> Mobility services </v>
      </c>
      <c r="R21" t="str">
        <f t="shared" si="11"/>
        <v xml:space="preserve"> 45.0% </v>
      </c>
      <c r="S21" t="s">
        <v>668</v>
      </c>
      <c r="T21" t="str">
        <f t="shared" si="12"/>
        <v xml:space="preserve"> Other services </v>
      </c>
      <c r="U21" t="str">
        <f t="shared" si="13"/>
        <v xml:space="preserve"> 4.0% </v>
      </c>
      <c r="V21" t="s">
        <v>663</v>
      </c>
      <c r="W21" t="str">
        <f t="shared" si="14"/>
        <v xml:space="preserve"> Mobility services </v>
      </c>
      <c r="X21" t="str">
        <f t="shared" si="15"/>
        <v xml:space="preserve"> 25.0% </v>
      </c>
      <c r="Y21" t="s">
        <v>663</v>
      </c>
      <c r="Z21" t="str">
        <f t="shared" si="16"/>
        <v xml:space="preserve"> Mobility services </v>
      </c>
      <c r="AA21" t="str">
        <f t="shared" si="17"/>
        <v xml:space="preserve"> 25.0% </v>
      </c>
      <c r="AB21" t="s">
        <v>816</v>
      </c>
      <c r="AC21" t="str">
        <f t="shared" si="18"/>
        <v xml:space="preserve"> Mobility services </v>
      </c>
      <c r="AD21" t="str">
        <f t="shared" si="19"/>
        <v xml:space="preserve"> 24.0% </v>
      </c>
      <c r="AF21" t="s">
        <v>845</v>
      </c>
      <c r="AG21" t="str">
        <f t="shared" si="20"/>
        <v xml:space="preserve"> Mobility services </v>
      </c>
      <c r="AH21" t="str">
        <f t="shared" si="21"/>
        <v xml:space="preserve"> 19.0% </v>
      </c>
      <c r="AI21" t="s">
        <v>948</v>
      </c>
      <c r="AK21" t="str">
        <f t="shared" si="22"/>
        <v xml:space="preserve"> Mobility services </v>
      </c>
      <c r="AL21" t="str">
        <f t="shared" si="23"/>
        <v xml:space="preserve"> 22.0% </v>
      </c>
      <c r="AM21" t="s">
        <v>663</v>
      </c>
      <c r="AN21" t="s">
        <v>0</v>
      </c>
      <c r="AO21" t="str">
        <f t="shared" si="24"/>
        <v xml:space="preserve"> 25.0% </v>
      </c>
      <c r="AP21" t="s">
        <v>979</v>
      </c>
      <c r="AQ21" t="str">
        <f t="shared" si="25"/>
        <v xml:space="preserve"> Mobility services </v>
      </c>
      <c r="AR21" t="str">
        <f t="shared" si="26"/>
        <v xml:space="preserve"> 26.0% </v>
      </c>
      <c r="AS21" t="s">
        <v>1042</v>
      </c>
      <c r="AT21" t="str">
        <f t="shared" si="27"/>
        <v xml:space="preserve"> Mobility services </v>
      </c>
      <c r="AU21" t="str">
        <f t="shared" si="28"/>
        <v xml:space="preserve"> 38.0% </v>
      </c>
      <c r="AV21" t="s">
        <v>1096</v>
      </c>
      <c r="AW21" t="str">
        <f t="shared" si="29"/>
        <v>Mobility services</v>
      </c>
      <c r="AX21" t="str">
        <f t="shared" si="30"/>
        <v xml:space="preserve"> 20.0% </v>
      </c>
    </row>
    <row r="22" spans="1:50" x14ac:dyDescent="0.45">
      <c r="A22" t="s">
        <v>20</v>
      </c>
      <c r="B22" t="str">
        <f t="shared" si="0"/>
        <v xml:space="preserve"> Fixed Line telephony &amp; Internet connections </v>
      </c>
      <c r="C22" t="str">
        <f t="shared" si="1"/>
        <v xml:space="preserve"> 12.0% </v>
      </c>
      <c r="D22" t="s">
        <v>192</v>
      </c>
      <c r="E22" t="str">
        <f t="shared" si="2"/>
        <v xml:space="preserve"> Fixed Line telephony &amp; Internet connections </v>
      </c>
      <c r="F22" t="str">
        <f t="shared" si="3"/>
        <v xml:space="preserve"> 13.0% </v>
      </c>
      <c r="G22" t="s">
        <v>542</v>
      </c>
      <c r="H22" t="str">
        <f t="shared" si="4"/>
        <v xml:space="preserve"> Fixed Line telephony &amp; Internet connections </v>
      </c>
      <c r="I22" t="str">
        <f t="shared" si="5"/>
        <v xml:space="preserve"> 15.0% </v>
      </c>
      <c r="J22" t="s">
        <v>344</v>
      </c>
      <c r="K22" t="str">
        <f t="shared" si="6"/>
        <v xml:space="preserve"> Fixed Line telephony &amp; Internet connections </v>
      </c>
      <c r="L22" t="str">
        <f t="shared" si="7"/>
        <v xml:space="preserve"> 10.0% </v>
      </c>
      <c r="M22" t="s">
        <v>344</v>
      </c>
      <c r="N22" t="str">
        <f t="shared" si="8"/>
        <v xml:space="preserve"> Fixed Line telephony &amp; Internet connections </v>
      </c>
      <c r="O22" t="str">
        <f t="shared" si="9"/>
        <v xml:space="preserve"> 10.0% </v>
      </c>
      <c r="P22" t="s">
        <v>192</v>
      </c>
      <c r="Q22" t="str">
        <f t="shared" si="10"/>
        <v xml:space="preserve"> Fixed Line telephony &amp; Internet connections </v>
      </c>
      <c r="R22" t="str">
        <f t="shared" si="11"/>
        <v xml:space="preserve"> 13.0% </v>
      </c>
      <c r="S22" t="s">
        <v>604</v>
      </c>
      <c r="T22" t="str">
        <f t="shared" si="12"/>
        <v xml:space="preserve"> Io T Connectivity Supplier </v>
      </c>
      <c r="U22" t="str">
        <f t="shared" si="13"/>
        <v xml:space="preserve"> 3.0% </v>
      </c>
      <c r="V22" t="s">
        <v>725</v>
      </c>
      <c r="W22" t="str">
        <f t="shared" si="14"/>
        <v xml:space="preserve"> Fixed Line telephony &amp; Internet connections </v>
      </c>
      <c r="X22" t="str">
        <f t="shared" si="15"/>
        <v xml:space="preserve"> 20.0% </v>
      </c>
      <c r="Y22" t="s">
        <v>779</v>
      </c>
      <c r="Z22" t="str">
        <f t="shared" si="16"/>
        <v xml:space="preserve"> Fixed Line telephony &amp; Internet connections </v>
      </c>
      <c r="AA22" t="str">
        <f t="shared" si="17"/>
        <v xml:space="preserve"> 5.0% </v>
      </c>
      <c r="AB22" t="s">
        <v>344</v>
      </c>
      <c r="AC22" t="str">
        <f t="shared" si="18"/>
        <v xml:space="preserve"> Fixed Line telephony &amp; Internet connections </v>
      </c>
      <c r="AD22" t="str">
        <f t="shared" si="19"/>
        <v xml:space="preserve"> 10.0% </v>
      </c>
      <c r="AF22" t="s">
        <v>846</v>
      </c>
      <c r="AG22" t="str">
        <f t="shared" si="20"/>
        <v xml:space="preserve"> Fixed Line telephony &amp; Internet connections </v>
      </c>
      <c r="AH22" t="str">
        <f t="shared" si="21"/>
        <v xml:space="preserve"> 6.0% </v>
      </c>
      <c r="AI22" t="s">
        <v>949</v>
      </c>
      <c r="AK22" t="str">
        <f t="shared" si="22"/>
        <v xml:space="preserve"> Fixed Line telephony &amp; Internet connections </v>
      </c>
      <c r="AL22" t="str">
        <f t="shared" si="23"/>
        <v xml:space="preserve"> 25.0% </v>
      </c>
      <c r="AM22" t="s">
        <v>542</v>
      </c>
      <c r="AN22" t="s">
        <v>0</v>
      </c>
      <c r="AO22" t="str">
        <f t="shared" si="24"/>
        <v xml:space="preserve"> 15.0% </v>
      </c>
      <c r="AP22" t="s">
        <v>344</v>
      </c>
      <c r="AQ22" t="str">
        <f t="shared" si="25"/>
        <v xml:space="preserve"> Fixed Line telephony &amp; Internet connections </v>
      </c>
      <c r="AR22" t="str">
        <f t="shared" si="26"/>
        <v xml:space="preserve"> 10.0% </v>
      </c>
      <c r="AS22" t="s">
        <v>1043</v>
      </c>
      <c r="AT22" t="str">
        <f t="shared" si="27"/>
        <v xml:space="preserve"> Fixed Line telephony &amp; Internet connections </v>
      </c>
      <c r="AU22" t="str">
        <f t="shared" si="28"/>
        <v xml:space="preserve"> 9.0% </v>
      </c>
      <c r="AV22" t="s">
        <v>1097</v>
      </c>
      <c r="AW22" t="str">
        <f t="shared" si="29"/>
        <v>Fixed Line telephony &amp; Internet connections</v>
      </c>
      <c r="AX22" t="str">
        <f t="shared" si="30"/>
        <v xml:space="preserve"> 2.0% </v>
      </c>
    </row>
    <row r="23" spans="1:50" x14ac:dyDescent="0.45">
      <c r="A23" t="s">
        <v>21</v>
      </c>
      <c r="B23" t="str">
        <f t="shared" si="0"/>
        <v/>
      </c>
      <c r="C23" t="str">
        <f t="shared" si="1"/>
        <v/>
      </c>
      <c r="D23" t="s">
        <v>193</v>
      </c>
      <c r="E23" t="str">
        <f t="shared" si="2"/>
        <v/>
      </c>
      <c r="F23" t="str">
        <f t="shared" si="3"/>
        <v/>
      </c>
      <c r="G23" t="s">
        <v>21</v>
      </c>
      <c r="H23" t="str">
        <f t="shared" si="4"/>
        <v/>
      </c>
      <c r="I23" t="str">
        <f t="shared" si="5"/>
        <v/>
      </c>
      <c r="J23" t="s">
        <v>21</v>
      </c>
      <c r="K23" t="str">
        <f t="shared" si="6"/>
        <v/>
      </c>
      <c r="L23" t="str">
        <f t="shared" si="7"/>
        <v/>
      </c>
      <c r="M23" t="s">
        <v>21</v>
      </c>
      <c r="N23" t="str">
        <f t="shared" si="8"/>
        <v/>
      </c>
      <c r="O23" t="str">
        <f t="shared" si="9"/>
        <v/>
      </c>
      <c r="P23" t="s">
        <v>21</v>
      </c>
      <c r="Q23" t="str">
        <f t="shared" si="10"/>
        <v/>
      </c>
      <c r="R23" t="str">
        <f t="shared" si="11"/>
        <v/>
      </c>
      <c r="S23" t="s">
        <v>669</v>
      </c>
      <c r="T23" t="str">
        <f t="shared" si="12"/>
        <v/>
      </c>
      <c r="U23" t="str">
        <f t="shared" si="13"/>
        <v/>
      </c>
      <c r="V23" t="s">
        <v>669</v>
      </c>
      <c r="W23" t="str">
        <f t="shared" si="14"/>
        <v/>
      </c>
      <c r="X23" t="str">
        <f t="shared" si="15"/>
        <v/>
      </c>
      <c r="Y23" t="s">
        <v>21</v>
      </c>
      <c r="Z23" t="str">
        <f t="shared" si="16"/>
        <v/>
      </c>
      <c r="AA23" t="str">
        <f t="shared" si="17"/>
        <v/>
      </c>
      <c r="AB23" t="s">
        <v>21</v>
      </c>
      <c r="AC23" t="str">
        <f t="shared" si="18"/>
        <v/>
      </c>
      <c r="AD23" t="str">
        <f t="shared" si="19"/>
        <v/>
      </c>
      <c r="AF23" t="s">
        <v>21</v>
      </c>
      <c r="AG23" t="str">
        <f t="shared" si="20"/>
        <v/>
      </c>
      <c r="AH23" t="str">
        <f t="shared" si="21"/>
        <v/>
      </c>
      <c r="AI23" t="s">
        <v>21</v>
      </c>
      <c r="AK23" t="str">
        <f t="shared" si="22"/>
        <v/>
      </c>
      <c r="AL23" t="str">
        <f t="shared" si="23"/>
        <v/>
      </c>
      <c r="AM23" t="s">
        <v>21</v>
      </c>
      <c r="AN23" t="s">
        <v>0</v>
      </c>
      <c r="AO23" t="str">
        <f t="shared" si="24"/>
        <v/>
      </c>
      <c r="AP23" t="s">
        <v>21</v>
      </c>
      <c r="AQ23" t="str">
        <f t="shared" si="25"/>
        <v/>
      </c>
      <c r="AR23" t="str">
        <f t="shared" si="26"/>
        <v/>
      </c>
      <c r="AS23" t="s">
        <v>21</v>
      </c>
      <c r="AT23" t="str">
        <f t="shared" si="27"/>
        <v/>
      </c>
      <c r="AU23" t="str">
        <f t="shared" si="28"/>
        <v/>
      </c>
      <c r="AV23" t="s">
        <v>1098</v>
      </c>
      <c r="AW23" t="str">
        <f t="shared" si="29"/>
        <v/>
      </c>
      <c r="AX23" t="str">
        <f t="shared" si="30"/>
        <v/>
      </c>
    </row>
    <row r="24" spans="1:50" x14ac:dyDescent="0.45">
      <c r="A24" t="s">
        <v>22</v>
      </c>
      <c r="B24" t="str">
        <f t="shared" si="0"/>
        <v xml:space="preserve"> 0.5 to 1.5 million </v>
      </c>
      <c r="C24" t="str">
        <f t="shared" si="1"/>
        <v xml:space="preserve"> 15.0% </v>
      </c>
      <c r="D24" t="s">
        <v>194</v>
      </c>
      <c r="E24" t="str">
        <f t="shared" si="2"/>
        <v xml:space="preserve"> 0.5 to 1.5 million </v>
      </c>
      <c r="F24" t="str">
        <f t="shared" si="3"/>
        <v xml:space="preserve"> 12.0% </v>
      </c>
      <c r="G24" t="s">
        <v>543</v>
      </c>
      <c r="H24" t="str">
        <f t="shared" si="4"/>
        <v xml:space="preserve"> 0.5 to 1.5 million </v>
      </c>
      <c r="I24" t="str">
        <f t="shared" si="5"/>
        <v xml:space="preserve"> 18.0% </v>
      </c>
      <c r="J24" t="s">
        <v>22</v>
      </c>
      <c r="K24" t="str">
        <f t="shared" si="6"/>
        <v xml:space="preserve"> 0.5 to 1.5 million </v>
      </c>
      <c r="L24" t="str">
        <f t="shared" si="7"/>
        <v xml:space="preserve"> 15.0% </v>
      </c>
      <c r="M24" t="s">
        <v>421</v>
      </c>
      <c r="N24" t="str">
        <f t="shared" si="8"/>
        <v xml:space="preserve"> 0.5 to 1.5 million </v>
      </c>
      <c r="O24" t="str">
        <f t="shared" si="9"/>
        <v xml:space="preserve"> 14.0% </v>
      </c>
      <c r="P24" t="s">
        <v>609</v>
      </c>
      <c r="Q24" t="str">
        <f t="shared" si="10"/>
        <v xml:space="preserve"> 0.5 to 1.5 million </v>
      </c>
      <c r="R24" t="str">
        <f t="shared" si="11"/>
        <v xml:space="preserve"> 8.0% </v>
      </c>
      <c r="S24" t="s">
        <v>670</v>
      </c>
      <c r="T24" t="str">
        <f t="shared" si="12"/>
        <v xml:space="preserve"> 1.5 to 5 million </v>
      </c>
      <c r="U24" t="str">
        <f t="shared" si="13"/>
        <v xml:space="preserve"> 28.0% </v>
      </c>
      <c r="V24" t="s">
        <v>726</v>
      </c>
      <c r="W24" t="str">
        <f t="shared" si="14"/>
        <v xml:space="preserve"> 0.5 to 1.5 million </v>
      </c>
      <c r="X24" t="str">
        <f t="shared" si="15"/>
        <v xml:space="preserve"> 20.0% </v>
      </c>
      <c r="Y24" t="s">
        <v>22</v>
      </c>
      <c r="Z24" t="str">
        <f t="shared" si="16"/>
        <v xml:space="preserve"> 0.5 to 1.5 million </v>
      </c>
      <c r="AA24" t="str">
        <f t="shared" si="17"/>
        <v xml:space="preserve"> 15.0% </v>
      </c>
      <c r="AB24" t="s">
        <v>609</v>
      </c>
      <c r="AC24" t="str">
        <f t="shared" si="18"/>
        <v xml:space="preserve"> 0.5 to 1.5 million </v>
      </c>
      <c r="AD24" t="str">
        <f t="shared" si="19"/>
        <v xml:space="preserve"> 8.0% </v>
      </c>
      <c r="AF24" t="s">
        <v>194</v>
      </c>
      <c r="AG24" t="str">
        <f t="shared" si="20"/>
        <v xml:space="preserve"> 0.5 to 1.5 million </v>
      </c>
      <c r="AH24" t="str">
        <f t="shared" si="21"/>
        <v xml:space="preserve"> 12.0% </v>
      </c>
      <c r="AI24" t="s">
        <v>421</v>
      </c>
      <c r="AK24" t="str">
        <f t="shared" si="22"/>
        <v xml:space="preserve"> 0.5 to 1.5 million </v>
      </c>
      <c r="AL24" t="str">
        <f t="shared" si="23"/>
        <v xml:space="preserve"> 14.0% </v>
      </c>
      <c r="AM24" t="s">
        <v>22</v>
      </c>
      <c r="AN24" t="s">
        <v>0</v>
      </c>
      <c r="AO24" t="str">
        <f t="shared" si="24"/>
        <v xml:space="preserve"> 15.0% </v>
      </c>
      <c r="AP24" t="s">
        <v>421</v>
      </c>
      <c r="AQ24" t="str">
        <f t="shared" si="25"/>
        <v xml:space="preserve"> 0.5 to 1.5 million </v>
      </c>
      <c r="AR24" t="str">
        <f t="shared" si="26"/>
        <v xml:space="preserve"> 14.0% </v>
      </c>
      <c r="AS24" t="s">
        <v>421</v>
      </c>
      <c r="AT24" t="str">
        <f t="shared" si="27"/>
        <v xml:space="preserve"> 0.5 to 1.5 million </v>
      </c>
      <c r="AU24" t="str">
        <f t="shared" si="28"/>
        <v xml:space="preserve"> 14.0% </v>
      </c>
      <c r="AV24" t="s">
        <v>1099</v>
      </c>
      <c r="AW24" t="str">
        <f t="shared" si="29"/>
        <v>0.5 to 1.5 million</v>
      </c>
      <c r="AX24" t="str">
        <f t="shared" si="30"/>
        <v xml:space="preserve"> 12.0% </v>
      </c>
    </row>
    <row r="25" spans="1:50" x14ac:dyDescent="0.45">
      <c r="A25" t="s">
        <v>23</v>
      </c>
      <c r="B25" t="str">
        <f t="shared" si="0"/>
        <v xml:space="preserve"> 1.5 to 5 million </v>
      </c>
      <c r="C25" t="str">
        <f t="shared" si="1"/>
        <v xml:space="preserve"> 25.0% </v>
      </c>
      <c r="D25" t="s">
        <v>195</v>
      </c>
      <c r="E25" t="str">
        <f t="shared" si="2"/>
        <v xml:space="preserve"> 1.5 to 5 million </v>
      </c>
      <c r="F25" t="str">
        <f t="shared" si="3"/>
        <v xml:space="preserve"> 18.0% </v>
      </c>
      <c r="G25" t="s">
        <v>544</v>
      </c>
      <c r="H25" t="str">
        <f t="shared" si="4"/>
        <v xml:space="preserve"> 1.5 to 5 million </v>
      </c>
      <c r="I25" t="str">
        <f t="shared" si="5"/>
        <v xml:space="preserve"> 22.0% </v>
      </c>
      <c r="J25" t="s">
        <v>345</v>
      </c>
      <c r="K25" t="str">
        <f t="shared" si="6"/>
        <v xml:space="preserve"> 1.5 to 5 million </v>
      </c>
      <c r="L25" t="str">
        <f t="shared" si="7"/>
        <v xml:space="preserve"> 20.0% </v>
      </c>
      <c r="M25" t="s">
        <v>422</v>
      </c>
      <c r="N25" t="str">
        <f t="shared" si="8"/>
        <v xml:space="preserve"> 1.5 to 5 million </v>
      </c>
      <c r="O25" t="str">
        <f t="shared" si="9"/>
        <v xml:space="preserve"> 24.0% </v>
      </c>
      <c r="P25" t="s">
        <v>195</v>
      </c>
      <c r="Q25" t="str">
        <f t="shared" si="10"/>
        <v xml:space="preserve"> 1.5 to 5 million </v>
      </c>
      <c r="R25" t="str">
        <f t="shared" si="11"/>
        <v xml:space="preserve"> 18.0% </v>
      </c>
      <c r="S25" t="s">
        <v>610</v>
      </c>
      <c r="T25" t="str">
        <f t="shared" si="12"/>
        <v xml:space="preserve"> 5 to 10 million </v>
      </c>
      <c r="U25" t="str">
        <f t="shared" si="13"/>
        <v xml:space="preserve"> 22.0% </v>
      </c>
      <c r="V25" t="s">
        <v>23</v>
      </c>
      <c r="W25" t="str">
        <f t="shared" si="14"/>
        <v xml:space="preserve"> 1.5 to 5 million </v>
      </c>
      <c r="X25" t="str">
        <f t="shared" si="15"/>
        <v xml:space="preserve"> 25.0% </v>
      </c>
      <c r="Y25" t="s">
        <v>345</v>
      </c>
      <c r="Z25" t="str">
        <f t="shared" si="16"/>
        <v xml:space="preserve"> 1.5 to 5 million </v>
      </c>
      <c r="AA25" t="str">
        <f t="shared" si="17"/>
        <v xml:space="preserve"> 20.0% </v>
      </c>
      <c r="AB25" t="s">
        <v>817</v>
      </c>
      <c r="AC25" t="str">
        <f t="shared" si="18"/>
        <v xml:space="preserve"> 1.5 to 5 million </v>
      </c>
      <c r="AD25" t="str">
        <f t="shared" si="19"/>
        <v xml:space="preserve"> 15.0% </v>
      </c>
      <c r="AF25" t="s">
        <v>195</v>
      </c>
      <c r="AG25" t="str">
        <f t="shared" si="20"/>
        <v xml:space="preserve"> 1.5 to 5 million </v>
      </c>
      <c r="AH25" t="str">
        <f t="shared" si="21"/>
        <v xml:space="preserve"> 18.0% </v>
      </c>
      <c r="AI25" t="s">
        <v>195</v>
      </c>
      <c r="AK25" t="str">
        <f t="shared" si="22"/>
        <v xml:space="preserve"> 1.5 to 5 million </v>
      </c>
      <c r="AL25" t="str">
        <f t="shared" si="23"/>
        <v xml:space="preserve"> 18.0% </v>
      </c>
      <c r="AM25" t="s">
        <v>345</v>
      </c>
      <c r="AN25" t="s">
        <v>0</v>
      </c>
      <c r="AO25" t="str">
        <f t="shared" si="24"/>
        <v xml:space="preserve"> 20.0% </v>
      </c>
      <c r="AP25" t="s">
        <v>544</v>
      </c>
      <c r="AQ25" t="str">
        <f t="shared" si="25"/>
        <v xml:space="preserve"> 1.5 to 5 million </v>
      </c>
      <c r="AR25" t="str">
        <f t="shared" si="26"/>
        <v xml:space="preserve"> 22.0% </v>
      </c>
      <c r="AS25" t="s">
        <v>345</v>
      </c>
      <c r="AT25" t="str">
        <f t="shared" si="27"/>
        <v xml:space="preserve"> 1.5 to 5 million </v>
      </c>
      <c r="AU25" t="str">
        <f t="shared" si="28"/>
        <v xml:space="preserve"> 20.0% </v>
      </c>
      <c r="AV25" t="s">
        <v>1100</v>
      </c>
      <c r="AW25" t="str">
        <f t="shared" si="29"/>
        <v>1.5 to 5 million</v>
      </c>
      <c r="AX25" t="str">
        <f t="shared" si="30"/>
        <v xml:space="preserve"> 28.0% </v>
      </c>
    </row>
    <row r="26" spans="1:50" x14ac:dyDescent="0.45">
      <c r="A26" t="s">
        <v>24</v>
      </c>
      <c r="B26" t="str">
        <f t="shared" si="0"/>
        <v xml:space="preserve"> 5 to 10 million </v>
      </c>
      <c r="C26" t="str">
        <f t="shared" si="1"/>
        <v xml:space="preserve"> 20.0% </v>
      </c>
      <c r="D26" t="s">
        <v>196</v>
      </c>
      <c r="E26" t="str">
        <f t="shared" si="2"/>
        <v xml:space="preserve"> 5 to 10 million </v>
      </c>
      <c r="F26" t="str">
        <f t="shared" si="3"/>
        <v xml:space="preserve"> 16.0% </v>
      </c>
      <c r="G26" t="s">
        <v>24</v>
      </c>
      <c r="H26" t="str">
        <f t="shared" si="4"/>
        <v xml:space="preserve"> 5 to 10 million </v>
      </c>
      <c r="I26" t="str">
        <f t="shared" si="5"/>
        <v xml:space="preserve"> 20.0% </v>
      </c>
      <c r="J26" t="s">
        <v>24</v>
      </c>
      <c r="K26" t="str">
        <f t="shared" si="6"/>
        <v xml:space="preserve"> 5 to 10 million </v>
      </c>
      <c r="L26" t="str">
        <f t="shared" si="7"/>
        <v xml:space="preserve"> 20.0% </v>
      </c>
      <c r="M26" t="s">
        <v>423</v>
      </c>
      <c r="N26" t="str">
        <f t="shared" si="8"/>
        <v xml:space="preserve"> 5 to 10 million </v>
      </c>
      <c r="O26" t="str">
        <f t="shared" si="9"/>
        <v xml:space="preserve"> 21.0% </v>
      </c>
      <c r="P26" t="s">
        <v>610</v>
      </c>
      <c r="Q26" t="str">
        <f t="shared" si="10"/>
        <v xml:space="preserve"> 5 to 10 million </v>
      </c>
      <c r="R26" t="str">
        <f t="shared" si="11"/>
        <v xml:space="preserve"> 22.0% </v>
      </c>
      <c r="S26" t="s">
        <v>25</v>
      </c>
      <c r="T26" t="str">
        <f t="shared" si="12"/>
        <v xml:space="preserve"> 10 to 20 million </v>
      </c>
      <c r="U26" t="str">
        <f t="shared" si="13"/>
        <v xml:space="preserve"> 18.0% </v>
      </c>
      <c r="V26" t="s">
        <v>24</v>
      </c>
      <c r="W26" t="str">
        <f t="shared" si="14"/>
        <v xml:space="preserve"> 5 to 10 million </v>
      </c>
      <c r="X26" t="str">
        <f t="shared" si="15"/>
        <v xml:space="preserve"> 20.0% </v>
      </c>
      <c r="Y26" t="s">
        <v>780</v>
      </c>
      <c r="Z26" t="str">
        <f t="shared" si="16"/>
        <v xml:space="preserve"> 5 to 10 million </v>
      </c>
      <c r="AA26" t="str">
        <f t="shared" si="17"/>
        <v xml:space="preserve"> 18.0% </v>
      </c>
      <c r="AB26" t="s">
        <v>780</v>
      </c>
      <c r="AC26" t="str">
        <f t="shared" si="18"/>
        <v xml:space="preserve"> 5 to 10 million </v>
      </c>
      <c r="AD26" t="str">
        <f t="shared" si="19"/>
        <v xml:space="preserve"> 18.0% </v>
      </c>
      <c r="AF26" t="s">
        <v>196</v>
      </c>
      <c r="AG26" t="str">
        <f t="shared" si="20"/>
        <v xml:space="preserve"> 5 to 10 million </v>
      </c>
      <c r="AH26" t="str">
        <f t="shared" si="21"/>
        <v xml:space="preserve"> 16.0% </v>
      </c>
      <c r="AI26" t="s">
        <v>950</v>
      </c>
      <c r="AK26" t="str">
        <f t="shared" si="22"/>
        <v xml:space="preserve"> 5 to 10 million </v>
      </c>
      <c r="AL26" t="str">
        <f t="shared" si="23"/>
        <v xml:space="preserve"> 15.0% </v>
      </c>
      <c r="AM26" t="s">
        <v>922</v>
      </c>
      <c r="AN26" t="s">
        <v>0</v>
      </c>
      <c r="AO26" t="str">
        <f t="shared" si="24"/>
        <v xml:space="preserve"> 25.0% </v>
      </c>
      <c r="AP26" t="s">
        <v>780</v>
      </c>
      <c r="AQ26" t="str">
        <f t="shared" si="25"/>
        <v xml:space="preserve"> 5 to 10 million </v>
      </c>
      <c r="AR26" t="str">
        <f t="shared" si="26"/>
        <v xml:space="preserve"> 18.0% </v>
      </c>
      <c r="AS26" t="s">
        <v>1044</v>
      </c>
      <c r="AT26" t="str">
        <f t="shared" si="27"/>
        <v xml:space="preserve"> 5 to 10 million </v>
      </c>
      <c r="AU26" t="str">
        <f t="shared" si="28"/>
        <v xml:space="preserve"> 14.0% </v>
      </c>
      <c r="AV26" t="s">
        <v>1101</v>
      </c>
      <c r="AW26" t="str">
        <f t="shared" si="29"/>
        <v>5 to 10 million</v>
      </c>
      <c r="AX26" t="str">
        <f t="shared" si="30"/>
        <v xml:space="preserve"> 25.0% </v>
      </c>
    </row>
    <row r="27" spans="1:50" x14ac:dyDescent="0.45">
      <c r="A27" t="s">
        <v>25</v>
      </c>
      <c r="B27" t="str">
        <f t="shared" si="0"/>
        <v xml:space="preserve"> 10 to 20 million </v>
      </c>
      <c r="C27" t="str">
        <f t="shared" si="1"/>
        <v xml:space="preserve"> 18.0% </v>
      </c>
      <c r="D27" t="s">
        <v>197</v>
      </c>
      <c r="E27" t="str">
        <f t="shared" si="2"/>
        <v xml:space="preserve"> 10 to 20 million </v>
      </c>
      <c r="F27" t="str">
        <f t="shared" si="3"/>
        <v xml:space="preserve"> 15.0% </v>
      </c>
      <c r="G27" t="s">
        <v>545</v>
      </c>
      <c r="H27" t="str">
        <f t="shared" si="4"/>
        <v xml:space="preserve"> 10 to 20 million </v>
      </c>
      <c r="I27" t="str">
        <f t="shared" si="5"/>
        <v xml:space="preserve"> 17.0% </v>
      </c>
      <c r="J27" t="s">
        <v>197</v>
      </c>
      <c r="K27" t="str">
        <f t="shared" si="6"/>
        <v xml:space="preserve"> 10 to 20 million </v>
      </c>
      <c r="L27" t="str">
        <f t="shared" si="7"/>
        <v xml:space="preserve"> 15.0% </v>
      </c>
      <c r="M27" t="s">
        <v>25</v>
      </c>
      <c r="N27" t="str">
        <f t="shared" si="8"/>
        <v xml:space="preserve"> 10 to 20 million </v>
      </c>
      <c r="O27" t="str">
        <f t="shared" si="9"/>
        <v xml:space="preserve"> 18.0% </v>
      </c>
      <c r="P27" t="s">
        <v>611</v>
      </c>
      <c r="Q27" t="str">
        <f t="shared" si="10"/>
        <v xml:space="preserve"> 10 to 20 million </v>
      </c>
      <c r="R27" t="str">
        <f t="shared" si="11"/>
        <v xml:space="preserve"> 20.0% </v>
      </c>
      <c r="S27" t="s">
        <v>22</v>
      </c>
      <c r="T27" t="str">
        <f t="shared" si="12"/>
        <v xml:space="preserve"> 0.5 to 1.5 million </v>
      </c>
      <c r="U27" t="str">
        <f t="shared" si="13"/>
        <v xml:space="preserve"> 15.0% </v>
      </c>
      <c r="V27" t="s">
        <v>197</v>
      </c>
      <c r="W27" t="str">
        <f t="shared" si="14"/>
        <v xml:space="preserve"> 10 to 20 million </v>
      </c>
      <c r="X27" t="str">
        <f t="shared" si="15"/>
        <v xml:space="preserve"> 15.0% </v>
      </c>
      <c r="Y27" t="s">
        <v>197</v>
      </c>
      <c r="Z27" t="str">
        <f t="shared" si="16"/>
        <v xml:space="preserve"> 10 to 20 million </v>
      </c>
      <c r="AA27" t="str">
        <f t="shared" si="17"/>
        <v xml:space="preserve"> 15.0% </v>
      </c>
      <c r="AB27" t="s">
        <v>611</v>
      </c>
      <c r="AC27" t="str">
        <f t="shared" si="18"/>
        <v xml:space="preserve"> 10 to 20 million </v>
      </c>
      <c r="AD27" t="str">
        <f t="shared" si="19"/>
        <v xml:space="preserve"> 20.0% </v>
      </c>
      <c r="AF27" t="s">
        <v>847</v>
      </c>
      <c r="AG27" t="str">
        <f t="shared" si="20"/>
        <v xml:space="preserve"> 10 to 20 million </v>
      </c>
      <c r="AH27" t="str">
        <f t="shared" si="21"/>
        <v xml:space="preserve"> 19.0% </v>
      </c>
      <c r="AI27" t="s">
        <v>25</v>
      </c>
      <c r="AK27" t="str">
        <f t="shared" si="22"/>
        <v xml:space="preserve"> 10 to 20 million </v>
      </c>
      <c r="AL27" t="str">
        <f t="shared" si="23"/>
        <v xml:space="preserve"> 18.0% </v>
      </c>
      <c r="AM27" t="s">
        <v>197</v>
      </c>
      <c r="AN27" t="s">
        <v>0</v>
      </c>
      <c r="AO27" t="str">
        <f t="shared" si="24"/>
        <v xml:space="preserve"> 15.0% </v>
      </c>
      <c r="AP27" t="s">
        <v>980</v>
      </c>
      <c r="AQ27" t="str">
        <f t="shared" si="25"/>
        <v xml:space="preserve"> 10 to 20 million </v>
      </c>
      <c r="AR27" t="str">
        <f t="shared" si="26"/>
        <v xml:space="preserve"> 16.0% </v>
      </c>
      <c r="AS27" t="s">
        <v>1045</v>
      </c>
      <c r="AT27" t="str">
        <f t="shared" si="27"/>
        <v xml:space="preserve"> 10 to 20 million </v>
      </c>
      <c r="AU27" t="str">
        <f t="shared" si="28"/>
        <v xml:space="preserve"> 14.0% </v>
      </c>
      <c r="AV27" t="s">
        <v>1102</v>
      </c>
      <c r="AW27" t="str">
        <f t="shared" si="29"/>
        <v>10 to 20 million</v>
      </c>
      <c r="AX27" t="str">
        <f t="shared" si="30"/>
        <v xml:space="preserve"> 18.0% </v>
      </c>
    </row>
    <row r="28" spans="1:50" x14ac:dyDescent="0.45">
      <c r="A28" t="s">
        <v>26</v>
      </c>
      <c r="B28" t="str">
        <f t="shared" si="0"/>
        <v xml:space="preserve"> 20 to 50 million </v>
      </c>
      <c r="C28" t="str">
        <f t="shared" si="1"/>
        <v xml:space="preserve"> 12.0% </v>
      </c>
      <c r="D28" t="s">
        <v>198</v>
      </c>
      <c r="E28" t="str">
        <f t="shared" si="2"/>
        <v xml:space="preserve"> 20 to 50 million </v>
      </c>
      <c r="F28" t="str">
        <f t="shared" si="3"/>
        <v xml:space="preserve"> 18.0% </v>
      </c>
      <c r="G28" t="s">
        <v>546</v>
      </c>
      <c r="H28" t="str">
        <f t="shared" si="4"/>
        <v xml:space="preserve"> 20 to 50 million </v>
      </c>
      <c r="I28" t="str">
        <f t="shared" si="5"/>
        <v xml:space="preserve"> 13.0% </v>
      </c>
      <c r="J28" t="s">
        <v>346</v>
      </c>
      <c r="K28" t="str">
        <f t="shared" si="6"/>
        <v xml:space="preserve"> 20 to 50 million </v>
      </c>
      <c r="L28" t="str">
        <f t="shared" si="7"/>
        <v xml:space="preserve"> 15.0% </v>
      </c>
      <c r="M28" t="s">
        <v>346</v>
      </c>
      <c r="N28" t="str">
        <f t="shared" si="8"/>
        <v xml:space="preserve"> 20 to 50 million </v>
      </c>
      <c r="O28" t="str">
        <f t="shared" si="9"/>
        <v xml:space="preserve"> 15.0% </v>
      </c>
      <c r="P28" t="s">
        <v>612</v>
      </c>
      <c r="Q28" t="str">
        <f t="shared" si="10"/>
        <v xml:space="preserve"> 20 to 50 million </v>
      </c>
      <c r="R28" t="str">
        <f t="shared" si="11"/>
        <v xml:space="preserve"> 17.0% </v>
      </c>
      <c r="S28" t="s">
        <v>671</v>
      </c>
      <c r="T28" t="str">
        <f t="shared" si="12"/>
        <v xml:space="preserve"> 20 to 50 million </v>
      </c>
      <c r="U28" t="str">
        <f t="shared" si="13"/>
        <v xml:space="preserve"> 10.0% </v>
      </c>
      <c r="V28" t="s">
        <v>671</v>
      </c>
      <c r="W28" t="str">
        <f t="shared" si="14"/>
        <v xml:space="preserve"> 20 to 50 million </v>
      </c>
      <c r="X28" t="str">
        <f t="shared" si="15"/>
        <v xml:space="preserve"> 10.0% </v>
      </c>
      <c r="Y28" t="s">
        <v>612</v>
      </c>
      <c r="Z28" t="str">
        <f t="shared" si="16"/>
        <v xml:space="preserve"> 20 to 50 million </v>
      </c>
      <c r="AA28" t="str">
        <f t="shared" si="17"/>
        <v xml:space="preserve"> 17.0% </v>
      </c>
      <c r="AB28" t="s">
        <v>818</v>
      </c>
      <c r="AC28" t="str">
        <f t="shared" si="18"/>
        <v xml:space="preserve"> 20 to 50 million </v>
      </c>
      <c r="AD28" t="str">
        <f t="shared" si="19"/>
        <v xml:space="preserve"> 22.0% </v>
      </c>
      <c r="AF28" t="s">
        <v>818</v>
      </c>
      <c r="AG28" t="str">
        <f t="shared" si="20"/>
        <v xml:space="preserve"> 20 to 50 million </v>
      </c>
      <c r="AH28" t="str">
        <f t="shared" si="21"/>
        <v xml:space="preserve"> 22.0% </v>
      </c>
      <c r="AI28" t="s">
        <v>951</v>
      </c>
      <c r="AK28" t="str">
        <f t="shared" si="22"/>
        <v xml:space="preserve"> 20 to 50 million </v>
      </c>
      <c r="AL28" t="str">
        <f t="shared" si="23"/>
        <v xml:space="preserve"> 20.0% </v>
      </c>
      <c r="AM28" t="s">
        <v>346</v>
      </c>
      <c r="AN28" t="s">
        <v>0</v>
      </c>
      <c r="AO28" t="str">
        <f t="shared" si="24"/>
        <v xml:space="preserve"> 15.0% </v>
      </c>
      <c r="AP28" t="s">
        <v>198</v>
      </c>
      <c r="AQ28" t="str">
        <f t="shared" si="25"/>
        <v xml:space="preserve"> 20 to 50 million </v>
      </c>
      <c r="AR28" t="str">
        <f t="shared" si="26"/>
        <v xml:space="preserve"> 18.0% </v>
      </c>
      <c r="AS28" t="s">
        <v>1046</v>
      </c>
      <c r="AT28" t="str">
        <f t="shared" si="27"/>
        <v xml:space="preserve"> 20 to 50 million </v>
      </c>
      <c r="AU28" t="str">
        <f t="shared" si="28"/>
        <v xml:space="preserve"> 16.0% </v>
      </c>
      <c r="AV28" t="s">
        <v>1103</v>
      </c>
      <c r="AW28" t="str">
        <f t="shared" si="29"/>
        <v>20 to 50 million</v>
      </c>
      <c r="AX28" t="str">
        <f t="shared" si="30"/>
        <v xml:space="preserve"> 12.0% </v>
      </c>
    </row>
    <row r="29" spans="1:50" x14ac:dyDescent="0.45">
      <c r="A29" t="s">
        <v>27</v>
      </c>
      <c r="B29" t="str">
        <f t="shared" si="0"/>
        <v xml:space="preserve"> &gt; 50 million </v>
      </c>
      <c r="C29" t="str">
        <f t="shared" si="1"/>
        <v xml:space="preserve"> 10.0% </v>
      </c>
      <c r="D29" t="s">
        <v>199</v>
      </c>
      <c r="E29" t="str">
        <f t="shared" si="2"/>
        <v xml:space="preserve"> &gt; 50 million </v>
      </c>
      <c r="F29" t="str">
        <f t="shared" si="3"/>
        <v xml:space="preserve"> 21.0% </v>
      </c>
      <c r="G29" t="s">
        <v>27</v>
      </c>
      <c r="H29" t="str">
        <f t="shared" si="4"/>
        <v xml:space="preserve"> &gt; 50 million </v>
      </c>
      <c r="I29" t="str">
        <f t="shared" si="5"/>
        <v xml:space="preserve"> 10.0% </v>
      </c>
      <c r="J29" t="s">
        <v>347</v>
      </c>
      <c r="K29" t="str">
        <f t="shared" si="6"/>
        <v xml:space="preserve"> &gt; 50 million </v>
      </c>
      <c r="L29" t="str">
        <f t="shared" si="7"/>
        <v xml:space="preserve"> 15.0% </v>
      </c>
      <c r="M29" t="s">
        <v>424</v>
      </c>
      <c r="N29" t="str">
        <f t="shared" si="8"/>
        <v xml:space="preserve"> &gt; 50 million </v>
      </c>
      <c r="O29" t="str">
        <f t="shared" si="9"/>
        <v xml:space="preserve"> 8.0% </v>
      </c>
      <c r="P29" t="s">
        <v>347</v>
      </c>
      <c r="Q29" t="str">
        <f t="shared" si="10"/>
        <v xml:space="preserve"> &gt; 50 million </v>
      </c>
      <c r="R29" t="str">
        <f t="shared" si="11"/>
        <v xml:space="preserve"> 15.0% </v>
      </c>
      <c r="S29" t="s">
        <v>672</v>
      </c>
      <c r="T29" t="str">
        <f t="shared" si="12"/>
        <v xml:space="preserve"> &gt; 50 million </v>
      </c>
      <c r="U29" t="str">
        <f t="shared" si="13"/>
        <v xml:space="preserve"> 7.0% </v>
      </c>
      <c r="V29" t="s">
        <v>27</v>
      </c>
      <c r="W29" t="str">
        <f t="shared" si="14"/>
        <v xml:space="preserve"> &gt; 50 million </v>
      </c>
      <c r="X29" t="str">
        <f t="shared" si="15"/>
        <v xml:space="preserve"> 10.0% </v>
      </c>
      <c r="Y29" t="s">
        <v>347</v>
      </c>
      <c r="Z29" t="str">
        <f t="shared" si="16"/>
        <v xml:space="preserve"> &gt; 50 million </v>
      </c>
      <c r="AA29" t="str">
        <f t="shared" si="17"/>
        <v xml:space="preserve"> 15.0% </v>
      </c>
      <c r="AB29" t="s">
        <v>819</v>
      </c>
      <c r="AC29" t="str">
        <f t="shared" si="18"/>
        <v xml:space="preserve"> &gt; 50 million </v>
      </c>
      <c r="AD29" t="str">
        <f t="shared" si="19"/>
        <v xml:space="preserve"> 17.0% </v>
      </c>
      <c r="AF29" t="s">
        <v>848</v>
      </c>
      <c r="AG29" t="str">
        <f t="shared" si="20"/>
        <v xml:space="preserve"> &gt; 50 million </v>
      </c>
      <c r="AH29" t="str">
        <f t="shared" si="21"/>
        <v xml:space="preserve"> 13.0% </v>
      </c>
      <c r="AI29" t="s">
        <v>347</v>
      </c>
      <c r="AK29" t="str">
        <f t="shared" si="22"/>
        <v xml:space="preserve"> &gt; 50 million </v>
      </c>
      <c r="AL29" t="str">
        <f t="shared" si="23"/>
        <v xml:space="preserve"> 15.0% </v>
      </c>
      <c r="AM29" t="s">
        <v>27</v>
      </c>
      <c r="AN29" t="s">
        <v>0</v>
      </c>
      <c r="AO29" t="str">
        <f t="shared" si="24"/>
        <v xml:space="preserve"> 10.0% </v>
      </c>
      <c r="AP29" t="s">
        <v>981</v>
      </c>
      <c r="AQ29" t="str">
        <f t="shared" si="25"/>
        <v xml:space="preserve"> &gt; 50 million </v>
      </c>
      <c r="AR29" t="str">
        <f t="shared" si="26"/>
        <v xml:space="preserve"> 12.0% </v>
      </c>
      <c r="AS29" t="s">
        <v>1047</v>
      </c>
      <c r="AT29" t="str">
        <f t="shared" si="27"/>
        <v xml:space="preserve"> &gt; 50 million </v>
      </c>
      <c r="AU29" t="str">
        <f t="shared" si="28"/>
        <v xml:space="preserve"> 22.0% </v>
      </c>
      <c r="AV29" t="s">
        <v>1104</v>
      </c>
      <c r="AW29" t="str">
        <f t="shared" si="29"/>
        <v>&gt; 50 million</v>
      </c>
      <c r="AX29" t="str">
        <f t="shared" si="30"/>
        <v xml:space="preserve"> 5.0% </v>
      </c>
    </row>
    <row r="30" spans="1:50" x14ac:dyDescent="0.45">
      <c r="A30" t="s">
        <v>28</v>
      </c>
      <c r="B30" t="str">
        <f t="shared" si="0"/>
        <v/>
      </c>
      <c r="C30" t="str">
        <f t="shared" si="1"/>
        <v/>
      </c>
      <c r="D30" t="s">
        <v>200</v>
      </c>
      <c r="E30" t="str">
        <f t="shared" si="2"/>
        <v/>
      </c>
      <c r="F30" t="str">
        <f t="shared" si="3"/>
        <v/>
      </c>
      <c r="G30" t="s">
        <v>28</v>
      </c>
      <c r="H30" t="str">
        <f t="shared" si="4"/>
        <v/>
      </c>
      <c r="I30" t="str">
        <f t="shared" si="5"/>
        <v/>
      </c>
      <c r="J30" t="s">
        <v>28</v>
      </c>
      <c r="K30" t="str">
        <f t="shared" si="6"/>
        <v/>
      </c>
      <c r="L30" t="str">
        <f t="shared" si="7"/>
        <v/>
      </c>
      <c r="M30" t="s">
        <v>28</v>
      </c>
      <c r="N30" t="str">
        <f t="shared" si="8"/>
        <v/>
      </c>
      <c r="O30" t="str">
        <f t="shared" si="9"/>
        <v/>
      </c>
      <c r="P30" t="s">
        <v>28</v>
      </c>
      <c r="Q30" t="str">
        <f t="shared" si="10"/>
        <v/>
      </c>
      <c r="R30" t="str">
        <f t="shared" si="11"/>
        <v/>
      </c>
      <c r="S30" t="s">
        <v>673</v>
      </c>
      <c r="T30" t="str">
        <f t="shared" si="12"/>
        <v/>
      </c>
      <c r="U30" t="str">
        <f t="shared" si="13"/>
        <v/>
      </c>
      <c r="V30" t="s">
        <v>673</v>
      </c>
      <c r="W30" t="str">
        <f t="shared" si="14"/>
        <v/>
      </c>
      <c r="X30" t="str">
        <f t="shared" si="15"/>
        <v/>
      </c>
      <c r="Y30" t="s">
        <v>28</v>
      </c>
      <c r="Z30" t="str">
        <f t="shared" si="16"/>
        <v/>
      </c>
      <c r="AA30" t="str">
        <f t="shared" si="17"/>
        <v/>
      </c>
      <c r="AB30" t="s">
        <v>28</v>
      </c>
      <c r="AC30" t="str">
        <f t="shared" si="18"/>
        <v/>
      </c>
      <c r="AD30" t="str">
        <f t="shared" si="19"/>
        <v/>
      </c>
      <c r="AF30" t="s">
        <v>28</v>
      </c>
      <c r="AG30" t="str">
        <f t="shared" si="20"/>
        <v/>
      </c>
      <c r="AH30" t="str">
        <f t="shared" si="21"/>
        <v/>
      </c>
      <c r="AI30" t="s">
        <v>28</v>
      </c>
      <c r="AK30" t="str">
        <f t="shared" si="22"/>
        <v/>
      </c>
      <c r="AL30" t="str">
        <f t="shared" si="23"/>
        <v/>
      </c>
      <c r="AM30" t="s">
        <v>28</v>
      </c>
      <c r="AN30" t="s">
        <v>0</v>
      </c>
      <c r="AO30" t="str">
        <f t="shared" si="24"/>
        <v/>
      </c>
      <c r="AP30" t="s">
        <v>28</v>
      </c>
      <c r="AQ30" t="str">
        <f t="shared" si="25"/>
        <v/>
      </c>
      <c r="AR30" t="str">
        <f t="shared" si="26"/>
        <v/>
      </c>
      <c r="AS30" t="s">
        <v>28</v>
      </c>
      <c r="AT30" t="str">
        <f t="shared" si="27"/>
        <v/>
      </c>
      <c r="AU30" t="str">
        <f t="shared" si="28"/>
        <v/>
      </c>
      <c r="AV30" t="s">
        <v>1105</v>
      </c>
      <c r="AW30" t="str">
        <f t="shared" si="29"/>
        <v/>
      </c>
      <c r="AX30" t="str">
        <f t="shared" si="30"/>
        <v/>
      </c>
    </row>
    <row r="31" spans="1:50" x14ac:dyDescent="0.45">
      <c r="A31" t="s">
        <v>29</v>
      </c>
      <c r="B31" t="str">
        <f t="shared" si="0"/>
        <v xml:space="preserve"> &lt; 50 million US$ </v>
      </c>
      <c r="C31" t="str">
        <f t="shared" si="1"/>
        <v xml:space="preserve"> 10.0% </v>
      </c>
      <c r="D31" t="s">
        <v>201</v>
      </c>
      <c r="E31" t="str">
        <f t="shared" si="2"/>
        <v xml:space="preserve"> &lt; 50 million US$ </v>
      </c>
      <c r="F31" t="str">
        <f t="shared" si="3"/>
        <v xml:space="preserve"> 5.0% </v>
      </c>
      <c r="G31" t="s">
        <v>547</v>
      </c>
      <c r="H31" t="str">
        <f t="shared" si="4"/>
        <v xml:space="preserve"> &lt; 50 million US$ </v>
      </c>
      <c r="I31" t="str">
        <f t="shared" si="5"/>
        <v xml:space="preserve"> 8.0% </v>
      </c>
      <c r="J31" t="s">
        <v>29</v>
      </c>
      <c r="K31" t="str">
        <f t="shared" si="6"/>
        <v xml:space="preserve"> &lt; 50 million US$ </v>
      </c>
      <c r="L31" t="str">
        <f t="shared" si="7"/>
        <v xml:space="preserve"> 10.0% </v>
      </c>
      <c r="M31" t="s">
        <v>425</v>
      </c>
      <c r="N31" t="str">
        <f t="shared" si="8"/>
        <v xml:space="preserve"> &lt; 50 million US$ </v>
      </c>
      <c r="O31" t="str">
        <f t="shared" si="9"/>
        <v xml:space="preserve"> 6.0% </v>
      </c>
      <c r="P31" t="s">
        <v>201</v>
      </c>
      <c r="Q31" t="str">
        <f t="shared" si="10"/>
        <v xml:space="preserve"> &lt; 50 million US$ </v>
      </c>
      <c r="R31" t="str">
        <f t="shared" si="11"/>
        <v xml:space="preserve"> 5.0% </v>
      </c>
      <c r="S31" t="s">
        <v>674</v>
      </c>
      <c r="T31" t="str">
        <f t="shared" si="12"/>
        <v xml:space="preserve"> 50 to 250 million US$ </v>
      </c>
      <c r="U31" t="str">
        <f t="shared" si="13"/>
        <v xml:space="preserve"> 25.0% </v>
      </c>
      <c r="V31" t="s">
        <v>29</v>
      </c>
      <c r="W31" t="str">
        <f t="shared" si="14"/>
        <v xml:space="preserve"> &lt; 50 million US$ </v>
      </c>
      <c r="X31" t="str">
        <f t="shared" si="15"/>
        <v xml:space="preserve"> 10.0% </v>
      </c>
      <c r="Y31" t="s">
        <v>781</v>
      </c>
      <c r="Z31" t="str">
        <f t="shared" si="16"/>
        <v xml:space="preserve"> &lt; 50 million US$ </v>
      </c>
      <c r="AA31" t="str">
        <f t="shared" si="17"/>
        <v xml:space="preserve"> 12.0% </v>
      </c>
      <c r="AB31" t="s">
        <v>820</v>
      </c>
      <c r="AC31" t="str">
        <f t="shared" si="18"/>
        <v xml:space="preserve"> &lt; 50 million US$ </v>
      </c>
      <c r="AD31" t="str">
        <f t="shared" si="19"/>
        <v xml:space="preserve"> 4.0% </v>
      </c>
      <c r="AF31" t="s">
        <v>547</v>
      </c>
      <c r="AG31" t="str">
        <f t="shared" si="20"/>
        <v xml:space="preserve"> &lt; 50 million US$ </v>
      </c>
      <c r="AH31" t="str">
        <f t="shared" si="21"/>
        <v xml:space="preserve"> 8.0% </v>
      </c>
      <c r="AI31" t="s">
        <v>29</v>
      </c>
      <c r="AK31" t="str">
        <f t="shared" si="22"/>
        <v xml:space="preserve"> &lt; 50 million US$ </v>
      </c>
      <c r="AL31" t="str">
        <f t="shared" si="23"/>
        <v xml:space="preserve"> 10.0% </v>
      </c>
      <c r="AM31" t="s">
        <v>29</v>
      </c>
      <c r="AN31" t="s">
        <v>0</v>
      </c>
      <c r="AO31" t="str">
        <f t="shared" si="24"/>
        <v xml:space="preserve"> 10.0% </v>
      </c>
      <c r="AP31" t="s">
        <v>982</v>
      </c>
      <c r="AQ31" t="str">
        <f t="shared" si="25"/>
        <v xml:space="preserve"> &lt; 50 million US$ </v>
      </c>
      <c r="AR31" t="str">
        <f t="shared" si="26"/>
        <v xml:space="preserve"> 7.0% </v>
      </c>
      <c r="AS31" t="s">
        <v>201</v>
      </c>
      <c r="AT31" t="str">
        <f t="shared" si="27"/>
        <v xml:space="preserve"> &lt; 50 million US$ </v>
      </c>
      <c r="AU31" t="str">
        <f t="shared" si="28"/>
        <v xml:space="preserve"> 5.0% </v>
      </c>
      <c r="AV31" t="s">
        <v>1106</v>
      </c>
      <c r="AW31" t="str">
        <f t="shared" si="29"/>
        <v>&lt; 50 million US$</v>
      </c>
      <c r="AX31" t="str">
        <f t="shared" si="30"/>
        <v xml:space="preserve"> 5.0% </v>
      </c>
    </row>
    <row r="32" spans="1:50" x14ac:dyDescent="0.45">
      <c r="A32" t="s">
        <v>30</v>
      </c>
      <c r="B32" t="str">
        <f t="shared" si="0"/>
        <v xml:space="preserve"> 50 to 250 million US$ </v>
      </c>
      <c r="C32" t="str">
        <f t="shared" si="1"/>
        <v xml:space="preserve"> 18.0% </v>
      </c>
      <c r="D32" t="s">
        <v>202</v>
      </c>
      <c r="E32" t="str">
        <f t="shared" si="2"/>
        <v xml:space="preserve"> 50 to 250 million US$ </v>
      </c>
      <c r="F32" t="str">
        <f t="shared" si="3"/>
        <v xml:space="preserve"> 10.0% </v>
      </c>
      <c r="G32" t="s">
        <v>30</v>
      </c>
      <c r="H32" t="str">
        <f t="shared" si="4"/>
        <v xml:space="preserve"> 50 to 250 million US$ </v>
      </c>
      <c r="I32" t="str">
        <f t="shared" si="5"/>
        <v xml:space="preserve"> 18.0% </v>
      </c>
      <c r="J32" t="s">
        <v>348</v>
      </c>
      <c r="K32" t="str">
        <f t="shared" si="6"/>
        <v xml:space="preserve"> 50 to 250 million US$ </v>
      </c>
      <c r="L32" t="str">
        <f t="shared" si="7"/>
        <v xml:space="preserve"> 15.0% </v>
      </c>
      <c r="M32" t="s">
        <v>426</v>
      </c>
      <c r="N32" t="str">
        <f t="shared" si="8"/>
        <v xml:space="preserve"> 50 to 250 million US$ </v>
      </c>
      <c r="O32" t="str">
        <f t="shared" si="9"/>
        <v xml:space="preserve"> 13.0% </v>
      </c>
      <c r="P32" t="s">
        <v>202</v>
      </c>
      <c r="Q32" t="str">
        <f t="shared" si="10"/>
        <v xml:space="preserve"> 50 to 250 million US$ </v>
      </c>
      <c r="R32" t="str">
        <f t="shared" si="11"/>
        <v xml:space="preserve"> 10.0% </v>
      </c>
      <c r="S32" t="s">
        <v>675</v>
      </c>
      <c r="T32" t="str">
        <f t="shared" si="12"/>
        <v xml:space="preserve"> 250 to 1,000 million US$ </v>
      </c>
      <c r="U32" t="str">
        <f t="shared" si="13"/>
        <v xml:space="preserve"> 23.0% </v>
      </c>
      <c r="V32" t="s">
        <v>348</v>
      </c>
      <c r="W32" t="str">
        <f t="shared" si="14"/>
        <v xml:space="preserve"> 50 to 250 million US$ </v>
      </c>
      <c r="X32" t="str">
        <f t="shared" si="15"/>
        <v xml:space="preserve"> 15.0% </v>
      </c>
      <c r="Y32" t="s">
        <v>30</v>
      </c>
      <c r="Z32" t="str">
        <f t="shared" si="16"/>
        <v xml:space="preserve"> 50 to 250 million US$ </v>
      </c>
      <c r="AA32" t="str">
        <f t="shared" si="17"/>
        <v xml:space="preserve"> 18.0% </v>
      </c>
      <c r="AB32" t="s">
        <v>821</v>
      </c>
      <c r="AC32" t="str">
        <f t="shared" si="18"/>
        <v xml:space="preserve"> 50 to 250 million US$ </v>
      </c>
      <c r="AD32" t="str">
        <f t="shared" si="19"/>
        <v xml:space="preserve"> 12.0% </v>
      </c>
      <c r="AF32" t="s">
        <v>849</v>
      </c>
      <c r="AG32" t="str">
        <f t="shared" si="20"/>
        <v xml:space="preserve"> 50 to 250 million US$ </v>
      </c>
      <c r="AH32" t="str">
        <f t="shared" si="21"/>
        <v xml:space="preserve"> 14.0% </v>
      </c>
      <c r="AI32" t="s">
        <v>348</v>
      </c>
      <c r="AK32" t="str">
        <f t="shared" si="22"/>
        <v xml:space="preserve"> 50 to 250 million US$ </v>
      </c>
      <c r="AL32" t="str">
        <f t="shared" si="23"/>
        <v xml:space="preserve"> 15.0% </v>
      </c>
      <c r="AM32" t="s">
        <v>348</v>
      </c>
      <c r="AN32" t="s">
        <v>0</v>
      </c>
      <c r="AO32" t="str">
        <f t="shared" si="24"/>
        <v xml:space="preserve"> 15.0% </v>
      </c>
      <c r="AP32" t="s">
        <v>348</v>
      </c>
      <c r="AQ32" t="str">
        <f t="shared" si="25"/>
        <v xml:space="preserve"> 50 to 250 million US$ </v>
      </c>
      <c r="AR32" t="str">
        <f t="shared" si="26"/>
        <v xml:space="preserve"> 15.0% </v>
      </c>
      <c r="AS32" t="s">
        <v>202</v>
      </c>
      <c r="AT32" t="str">
        <f t="shared" si="27"/>
        <v xml:space="preserve"> 50 to 250 million US$ </v>
      </c>
      <c r="AU32" t="str">
        <f t="shared" si="28"/>
        <v xml:space="preserve"> 10.0% </v>
      </c>
      <c r="AV32" t="s">
        <v>1107</v>
      </c>
      <c r="AW32" t="str">
        <f t="shared" si="29"/>
        <v>50 to 250 million US$</v>
      </c>
      <c r="AX32" t="str">
        <f t="shared" si="30"/>
        <v xml:space="preserve"> 25.0% </v>
      </c>
    </row>
    <row r="33" spans="1:50" x14ac:dyDescent="0.45">
      <c r="A33" t="s">
        <v>31</v>
      </c>
      <c r="B33" t="str">
        <f t="shared" si="0"/>
        <v xml:space="preserve"> 250 to 1,000 million US$ </v>
      </c>
      <c r="C33" t="str">
        <f t="shared" si="1"/>
        <v xml:space="preserve"> 22.0% </v>
      </c>
      <c r="D33" t="s">
        <v>203</v>
      </c>
      <c r="E33" t="str">
        <f t="shared" si="2"/>
        <v xml:space="preserve"> 250 to 1,000 million US$ </v>
      </c>
      <c r="F33" t="str">
        <f t="shared" si="3"/>
        <v xml:space="preserve"> 16.0% </v>
      </c>
      <c r="G33" t="s">
        <v>31</v>
      </c>
      <c r="H33" t="str">
        <f t="shared" si="4"/>
        <v xml:space="preserve"> 250 to 1,000 million US$ </v>
      </c>
      <c r="I33" t="str">
        <f t="shared" si="5"/>
        <v xml:space="preserve"> 22.0% </v>
      </c>
      <c r="J33" t="s">
        <v>349</v>
      </c>
      <c r="K33" t="str">
        <f t="shared" si="6"/>
        <v xml:space="preserve"> 250 to 1,000 million US$ </v>
      </c>
      <c r="L33" t="str">
        <f t="shared" si="7"/>
        <v xml:space="preserve"> 20.0% </v>
      </c>
      <c r="M33" t="s">
        <v>427</v>
      </c>
      <c r="N33" t="str">
        <f t="shared" si="8"/>
        <v xml:space="preserve"> 250 to 1,000 million US$ </v>
      </c>
      <c r="O33" t="str">
        <f t="shared" si="9"/>
        <v xml:space="preserve"> 21.0% </v>
      </c>
      <c r="P33" t="s">
        <v>613</v>
      </c>
      <c r="Q33" t="str">
        <f t="shared" si="10"/>
        <v xml:space="preserve"> 250 to 1,000 million US$ </v>
      </c>
      <c r="R33" t="str">
        <f t="shared" si="11"/>
        <v xml:space="preserve"> 18.0% </v>
      </c>
      <c r="S33" t="s">
        <v>32</v>
      </c>
      <c r="T33" t="str">
        <f t="shared" si="12"/>
        <v xml:space="preserve"> 1,000 to 5,000 million US$ </v>
      </c>
      <c r="U33" t="str">
        <f t="shared" si="13"/>
        <v xml:space="preserve"> 20.0% </v>
      </c>
      <c r="V33" t="s">
        <v>727</v>
      </c>
      <c r="W33" t="str">
        <f t="shared" si="14"/>
        <v xml:space="preserve"> 250 to 1,000 million US$ </v>
      </c>
      <c r="X33" t="str">
        <f t="shared" si="15"/>
        <v xml:space="preserve"> 25.0% </v>
      </c>
      <c r="Y33" t="s">
        <v>349</v>
      </c>
      <c r="Z33" t="str">
        <f t="shared" si="16"/>
        <v xml:space="preserve"> 250 to 1,000 million US$ </v>
      </c>
      <c r="AA33" t="str">
        <f t="shared" si="17"/>
        <v xml:space="preserve"> 20.0% </v>
      </c>
      <c r="AB33" t="s">
        <v>31</v>
      </c>
      <c r="AC33" t="str">
        <f t="shared" si="18"/>
        <v xml:space="preserve"> 250 to 1,000 million US$ </v>
      </c>
      <c r="AD33" t="str">
        <f t="shared" si="19"/>
        <v xml:space="preserve"> 22.0% </v>
      </c>
      <c r="AF33" t="s">
        <v>613</v>
      </c>
      <c r="AG33" t="str">
        <f t="shared" si="20"/>
        <v xml:space="preserve"> 250 to 1,000 million US$ </v>
      </c>
      <c r="AH33" t="str">
        <f t="shared" si="21"/>
        <v xml:space="preserve"> 18.0% </v>
      </c>
      <c r="AI33" t="s">
        <v>613</v>
      </c>
      <c r="AK33" t="str">
        <f t="shared" si="22"/>
        <v xml:space="preserve"> 250 to 1,000 million US$ </v>
      </c>
      <c r="AL33" t="str">
        <f t="shared" si="23"/>
        <v xml:space="preserve"> 18.0% </v>
      </c>
      <c r="AM33" t="s">
        <v>349</v>
      </c>
      <c r="AN33" t="s">
        <v>0</v>
      </c>
      <c r="AO33" t="str">
        <f t="shared" si="24"/>
        <v xml:space="preserve"> 20.0% </v>
      </c>
      <c r="AP33" t="s">
        <v>349</v>
      </c>
      <c r="AQ33" t="str">
        <f t="shared" si="25"/>
        <v xml:space="preserve"> 250 to 1,000 million US$ </v>
      </c>
      <c r="AR33" t="str">
        <f t="shared" si="26"/>
        <v xml:space="preserve"> 20.0% </v>
      </c>
      <c r="AS33" t="s">
        <v>349</v>
      </c>
      <c r="AT33" t="str">
        <f t="shared" si="27"/>
        <v xml:space="preserve"> 250 to 1,000 million US$ </v>
      </c>
      <c r="AU33" t="str">
        <f t="shared" si="28"/>
        <v xml:space="preserve"> 20.0% </v>
      </c>
      <c r="AV33" t="s">
        <v>1108</v>
      </c>
      <c r="AW33" t="str">
        <f t="shared" si="29"/>
        <v>250 to 1,000 million US$</v>
      </c>
      <c r="AX33" t="str">
        <f t="shared" si="30"/>
        <v xml:space="preserve"> 35.0% </v>
      </c>
    </row>
    <row r="34" spans="1:50" x14ac:dyDescent="0.45">
      <c r="A34" t="s">
        <v>32</v>
      </c>
      <c r="B34" t="str">
        <f t="shared" si="0"/>
        <v xml:space="preserve"> 1,000 to 5,000 million US$ </v>
      </c>
      <c r="C34" t="str">
        <f t="shared" si="1"/>
        <v xml:space="preserve"> 20.0% </v>
      </c>
      <c r="D34" t="s">
        <v>204</v>
      </c>
      <c r="E34" t="str">
        <f t="shared" si="2"/>
        <v xml:space="preserve"> 1,000 to 5,000 million US$ </v>
      </c>
      <c r="F34" t="str">
        <f t="shared" si="3"/>
        <v xml:space="preserve"> 24.0% </v>
      </c>
      <c r="G34" t="s">
        <v>32</v>
      </c>
      <c r="H34" t="str">
        <f t="shared" si="4"/>
        <v xml:space="preserve"> 1,000 to 5,000 million US$ </v>
      </c>
      <c r="I34" t="str">
        <f t="shared" si="5"/>
        <v xml:space="preserve"> 20.0% </v>
      </c>
      <c r="J34" t="s">
        <v>32</v>
      </c>
      <c r="K34" t="str">
        <f t="shared" si="6"/>
        <v xml:space="preserve"> 1,000 to 5,000 million US$ </v>
      </c>
      <c r="L34" t="str">
        <f t="shared" si="7"/>
        <v xml:space="preserve"> 20.0% </v>
      </c>
      <c r="M34" t="s">
        <v>428</v>
      </c>
      <c r="N34" t="str">
        <f t="shared" si="8"/>
        <v xml:space="preserve"> 1,000 to 5,000 million US$ </v>
      </c>
      <c r="O34" t="str">
        <f t="shared" si="9"/>
        <v xml:space="preserve"> 27.0% </v>
      </c>
      <c r="P34" t="s">
        <v>614</v>
      </c>
      <c r="Q34" t="str">
        <f t="shared" si="10"/>
        <v xml:space="preserve"> 1,000 to 5,000 million US$ </v>
      </c>
      <c r="R34" t="str">
        <f t="shared" si="11"/>
        <v xml:space="preserve"> 25.0% </v>
      </c>
      <c r="S34" t="s">
        <v>676</v>
      </c>
      <c r="T34" t="str">
        <f t="shared" si="12"/>
        <v xml:space="preserve"> 50 million US$ </v>
      </c>
      <c r="U34" t="str">
        <f t="shared" si="13"/>
        <v xml:space="preserve"> 12.0% </v>
      </c>
      <c r="V34" t="s">
        <v>32</v>
      </c>
      <c r="W34" t="str">
        <f t="shared" si="14"/>
        <v xml:space="preserve"> 1,000 to 5,000 million US$ </v>
      </c>
      <c r="X34" t="str">
        <f t="shared" si="15"/>
        <v xml:space="preserve"> 20.0% </v>
      </c>
      <c r="Y34" t="s">
        <v>782</v>
      </c>
      <c r="Z34" t="str">
        <f t="shared" si="16"/>
        <v xml:space="preserve"> 1,000 to 5,000 million US$ </v>
      </c>
      <c r="AA34" t="str">
        <f t="shared" si="17"/>
        <v xml:space="preserve"> 22.0% </v>
      </c>
      <c r="AB34" t="s">
        <v>614</v>
      </c>
      <c r="AC34" t="str">
        <f t="shared" si="18"/>
        <v xml:space="preserve"> 1,000 to 5,000 million US$ </v>
      </c>
      <c r="AD34" t="str">
        <f t="shared" si="19"/>
        <v xml:space="preserve"> 25.0% </v>
      </c>
      <c r="AF34" t="s">
        <v>850</v>
      </c>
      <c r="AG34" t="str">
        <f t="shared" si="20"/>
        <v xml:space="preserve"> 1,000 to 5,000 million US$ </v>
      </c>
      <c r="AH34" t="str">
        <f t="shared" si="21"/>
        <v xml:space="preserve"> 26.0% </v>
      </c>
      <c r="AI34" t="s">
        <v>782</v>
      </c>
      <c r="AK34" t="str">
        <f t="shared" si="22"/>
        <v xml:space="preserve"> 1,000 to 5,000 million US$ </v>
      </c>
      <c r="AL34" t="str">
        <f t="shared" si="23"/>
        <v xml:space="preserve"> 22.0% </v>
      </c>
      <c r="AM34" t="s">
        <v>614</v>
      </c>
      <c r="AN34" t="s">
        <v>0</v>
      </c>
      <c r="AO34" t="str">
        <f t="shared" si="24"/>
        <v xml:space="preserve"> 25.0% </v>
      </c>
      <c r="AP34" t="s">
        <v>983</v>
      </c>
      <c r="AQ34" t="str">
        <f t="shared" si="25"/>
        <v xml:space="preserve"> 1,000 to 5,000 million US$ </v>
      </c>
      <c r="AR34" t="str">
        <f t="shared" si="26"/>
        <v xml:space="preserve"> 23.0% </v>
      </c>
      <c r="AS34" t="s">
        <v>1048</v>
      </c>
      <c r="AT34" t="str">
        <f t="shared" si="27"/>
        <v xml:space="preserve"> 1,000 to 5,000 million US$ </v>
      </c>
      <c r="AU34" t="str">
        <f t="shared" si="28"/>
        <v xml:space="preserve"> 28.0% </v>
      </c>
      <c r="AV34" t="s">
        <v>1109</v>
      </c>
      <c r="AW34" t="str">
        <f t="shared" si="29"/>
        <v>1,000 to 5,000 million US$</v>
      </c>
      <c r="AX34" t="str">
        <f t="shared" si="30"/>
        <v xml:space="preserve"> 25.0% </v>
      </c>
    </row>
    <row r="35" spans="1:50" x14ac:dyDescent="0.45">
      <c r="A35" t="s">
        <v>33</v>
      </c>
      <c r="B35" t="str">
        <f t="shared" si="0"/>
        <v xml:space="preserve"> 5,000 to 10,000 million US$ </v>
      </c>
      <c r="C35" t="str">
        <f t="shared" si="1"/>
        <v xml:space="preserve"> 15.0% </v>
      </c>
      <c r="D35" t="s">
        <v>205</v>
      </c>
      <c r="E35" t="str">
        <f t="shared" si="2"/>
        <v xml:space="preserve"> 5,000 to 10,000 million US$ </v>
      </c>
      <c r="F35" t="str">
        <f t="shared" si="3"/>
        <v xml:space="preserve"> 17.0% </v>
      </c>
      <c r="G35" t="s">
        <v>548</v>
      </c>
      <c r="H35" t="str">
        <f t="shared" si="4"/>
        <v xml:space="preserve"> 5,000 to 10,000 million US$ </v>
      </c>
      <c r="I35" t="str">
        <f t="shared" si="5"/>
        <v xml:space="preserve"> 10.0% </v>
      </c>
      <c r="J35" t="s">
        <v>33</v>
      </c>
      <c r="K35" t="str">
        <f t="shared" si="6"/>
        <v xml:space="preserve"> 5,000 to 10,000 million US$ </v>
      </c>
      <c r="L35" t="str">
        <f t="shared" si="7"/>
        <v xml:space="preserve"> 15.0% </v>
      </c>
      <c r="M35" t="s">
        <v>429</v>
      </c>
      <c r="N35" t="str">
        <f t="shared" si="8"/>
        <v xml:space="preserve"> 5,000 to 10,000 million US$ </v>
      </c>
      <c r="O35" t="str">
        <f t="shared" si="9"/>
        <v xml:space="preserve"> 14.0% </v>
      </c>
      <c r="P35" t="s">
        <v>33</v>
      </c>
      <c r="Q35" t="str">
        <f t="shared" si="10"/>
        <v xml:space="preserve"> 5,000 to 10,000 million US$ </v>
      </c>
      <c r="R35" t="str">
        <f t="shared" si="11"/>
        <v xml:space="preserve"> 15.0% </v>
      </c>
      <c r="S35" t="s">
        <v>548</v>
      </c>
      <c r="T35" t="str">
        <f t="shared" si="12"/>
        <v xml:space="preserve"> 5,000 to 10,000 million US$ </v>
      </c>
      <c r="U35" t="str">
        <f t="shared" si="13"/>
        <v xml:space="preserve"> 10.0% </v>
      </c>
      <c r="V35" t="s">
        <v>548</v>
      </c>
      <c r="W35" t="str">
        <f t="shared" si="14"/>
        <v xml:space="preserve"> 5,000 to 10,000 million US$ </v>
      </c>
      <c r="X35" t="str">
        <f t="shared" si="15"/>
        <v xml:space="preserve"> 10.0% </v>
      </c>
      <c r="Y35" t="s">
        <v>548</v>
      </c>
      <c r="Z35" t="str">
        <f t="shared" si="16"/>
        <v xml:space="preserve"> 5,000 to 10,000 million US$ </v>
      </c>
      <c r="AA35" t="str">
        <f t="shared" si="17"/>
        <v xml:space="preserve"> 10.0% </v>
      </c>
      <c r="AB35" t="s">
        <v>548</v>
      </c>
      <c r="AC35" t="str">
        <f t="shared" si="18"/>
        <v xml:space="preserve"> 5,000 to 10,000 million US$ </v>
      </c>
      <c r="AD35" t="str">
        <f t="shared" si="19"/>
        <v xml:space="preserve"> 10.0% </v>
      </c>
      <c r="AF35" t="s">
        <v>851</v>
      </c>
      <c r="AG35" t="str">
        <f t="shared" si="20"/>
        <v xml:space="preserve"> 5,000 to 10,000 million US$ </v>
      </c>
      <c r="AH35" t="str">
        <f t="shared" si="21"/>
        <v xml:space="preserve"> 18.0% </v>
      </c>
      <c r="AI35" t="s">
        <v>952</v>
      </c>
      <c r="AK35" t="str">
        <f t="shared" si="22"/>
        <v xml:space="preserve"> 5,000 to 10,000 million US$ </v>
      </c>
      <c r="AL35" t="str">
        <f t="shared" si="23"/>
        <v xml:space="preserve"> 12.0% </v>
      </c>
      <c r="AM35" t="s">
        <v>33</v>
      </c>
      <c r="AN35" t="s">
        <v>0</v>
      </c>
      <c r="AO35" t="str">
        <f t="shared" si="24"/>
        <v xml:space="preserve"> 15.0% </v>
      </c>
      <c r="AP35" t="s">
        <v>429</v>
      </c>
      <c r="AQ35" t="str">
        <f t="shared" si="25"/>
        <v xml:space="preserve"> 5,000 to 10,000 million US$ </v>
      </c>
      <c r="AR35" t="str">
        <f t="shared" si="26"/>
        <v xml:space="preserve"> 14.0% </v>
      </c>
      <c r="AS35" t="s">
        <v>1049</v>
      </c>
      <c r="AT35" t="str">
        <f t="shared" si="27"/>
        <v xml:space="preserve"> 5,000 to 10,000 million US$ </v>
      </c>
      <c r="AU35" t="str">
        <f t="shared" si="28"/>
        <v xml:space="preserve"> 11.0% </v>
      </c>
      <c r="AV35" t="s">
        <v>1110</v>
      </c>
      <c r="AW35" t="str">
        <f t="shared" si="29"/>
        <v>5,000 to 10,000 million US$</v>
      </c>
      <c r="AX35" t="str">
        <f t="shared" si="30"/>
        <v xml:space="preserve"> 7.0% </v>
      </c>
    </row>
    <row r="36" spans="1:50" x14ac:dyDescent="0.45">
      <c r="A36" t="s">
        <v>34</v>
      </c>
      <c r="B36" t="str">
        <f t="shared" si="0"/>
        <v xml:space="preserve"> &gt; 10,000 million US$ </v>
      </c>
      <c r="C36" t="str">
        <f t="shared" si="1"/>
        <v xml:space="preserve"> 10.0% </v>
      </c>
      <c r="D36" t="s">
        <v>206</v>
      </c>
      <c r="E36" t="str">
        <f t="shared" si="2"/>
        <v xml:space="preserve"> &gt; 10,000 million US$ </v>
      </c>
      <c r="F36" t="str">
        <f t="shared" si="3"/>
        <v xml:space="preserve"> 22.0% </v>
      </c>
      <c r="G36" t="s">
        <v>549</v>
      </c>
      <c r="H36" t="str">
        <f t="shared" si="4"/>
        <v xml:space="preserve"> &gt; 10,000 million US$ </v>
      </c>
      <c r="I36" t="str">
        <f t="shared" si="5"/>
        <v xml:space="preserve"> 8.0% </v>
      </c>
      <c r="J36" t="s">
        <v>350</v>
      </c>
      <c r="K36" t="str">
        <f t="shared" si="6"/>
        <v xml:space="preserve"> &gt; 10,000 million US$ </v>
      </c>
      <c r="L36" t="str">
        <f t="shared" si="7"/>
        <v xml:space="preserve"> 15.0% </v>
      </c>
      <c r="M36" t="s">
        <v>430</v>
      </c>
      <c r="N36" t="str">
        <f t="shared" si="8"/>
        <v xml:space="preserve"> &gt; 10,000 million US$ </v>
      </c>
      <c r="O36" t="str">
        <f t="shared" si="9"/>
        <v xml:space="preserve"> 12.0% </v>
      </c>
      <c r="P36" t="s">
        <v>430</v>
      </c>
      <c r="Q36" t="str">
        <f t="shared" si="10"/>
        <v xml:space="preserve"> &gt; 10,000 million US$ </v>
      </c>
      <c r="R36" t="str">
        <f t="shared" si="11"/>
        <v xml:space="preserve"> 12.0% </v>
      </c>
      <c r="S36" t="s">
        <v>677</v>
      </c>
      <c r="T36" t="str">
        <f t="shared" si="12"/>
        <v xml:space="preserve"> &gt; 10,000 million US$ </v>
      </c>
      <c r="U36" t="str">
        <f t="shared" si="13"/>
        <v xml:space="preserve"> 7.0% </v>
      </c>
      <c r="V36" t="s">
        <v>34</v>
      </c>
      <c r="W36" t="str">
        <f t="shared" si="14"/>
        <v xml:space="preserve"> &gt; 10,000 million US$ </v>
      </c>
      <c r="X36" t="str">
        <f t="shared" si="15"/>
        <v xml:space="preserve"> 10.0% </v>
      </c>
      <c r="Y36" t="s">
        <v>549</v>
      </c>
      <c r="Z36" t="str">
        <f t="shared" si="16"/>
        <v xml:space="preserve"> &gt; 10,000 million US$ </v>
      </c>
      <c r="AA36" t="str">
        <f t="shared" si="17"/>
        <v xml:space="preserve"> 8.0% </v>
      </c>
      <c r="AB36" t="s">
        <v>430</v>
      </c>
      <c r="AC36" t="str">
        <f t="shared" si="18"/>
        <v xml:space="preserve"> &gt; 10,000 million US$ </v>
      </c>
      <c r="AD36" t="str">
        <f t="shared" si="19"/>
        <v xml:space="preserve"> 12.0% </v>
      </c>
      <c r="AF36" t="s">
        <v>852</v>
      </c>
      <c r="AG36" t="str">
        <f t="shared" si="20"/>
        <v xml:space="preserve"> &gt; 10,000 million US$ </v>
      </c>
      <c r="AH36" t="str">
        <f t="shared" si="21"/>
        <v xml:space="preserve"> 14.0% </v>
      </c>
      <c r="AI36" t="s">
        <v>350</v>
      </c>
      <c r="AK36" t="str">
        <f t="shared" si="22"/>
        <v xml:space="preserve"> &gt; 10,000 million US$ </v>
      </c>
      <c r="AL36" t="str">
        <f t="shared" si="23"/>
        <v xml:space="preserve"> 15.0% </v>
      </c>
      <c r="AM36" t="s">
        <v>34</v>
      </c>
      <c r="AN36" t="s">
        <v>0</v>
      </c>
      <c r="AO36" t="str">
        <f t="shared" si="24"/>
        <v xml:space="preserve"> 10.0% </v>
      </c>
      <c r="AP36" t="s">
        <v>984</v>
      </c>
      <c r="AQ36" t="str">
        <f t="shared" si="25"/>
        <v xml:space="preserve"> &gt; 10,000 million US$ </v>
      </c>
      <c r="AR36" t="str">
        <f t="shared" si="26"/>
        <v xml:space="preserve"> 13.0% </v>
      </c>
      <c r="AS36" t="s">
        <v>1050</v>
      </c>
      <c r="AT36" t="str">
        <f t="shared" si="27"/>
        <v xml:space="preserve"> &gt; 10,000 million US$ </v>
      </c>
      <c r="AU36" t="str">
        <f t="shared" si="28"/>
        <v xml:space="preserve"> 24.0% </v>
      </c>
      <c r="AV36" t="s">
        <v>1111</v>
      </c>
      <c r="AW36" t="str">
        <f t="shared" si="29"/>
        <v>&gt; 10,000 million US$</v>
      </c>
      <c r="AX36" t="str">
        <f t="shared" si="30"/>
        <v xml:space="preserve"> 3.0% </v>
      </c>
    </row>
    <row r="37" spans="1:50" x14ac:dyDescent="0.45">
      <c r="A37" t="s">
        <v>35</v>
      </c>
      <c r="B37" t="str">
        <f t="shared" si="0"/>
        <v xml:space="preserve"> I do not know </v>
      </c>
      <c r="C37" t="str">
        <f t="shared" si="1"/>
        <v xml:space="preserve"> 5.0% </v>
      </c>
      <c r="D37" t="s">
        <v>207</v>
      </c>
      <c r="E37" t="str">
        <f t="shared" si="2"/>
        <v xml:space="preserve"> I do not know </v>
      </c>
      <c r="F37" t="str">
        <f t="shared" si="3"/>
        <v xml:space="preserve"> 6.0% </v>
      </c>
      <c r="G37" t="s">
        <v>550</v>
      </c>
      <c r="H37" t="str">
        <f t="shared" si="4"/>
        <v xml:space="preserve"> I do not know </v>
      </c>
      <c r="I37" t="str">
        <f t="shared" si="5"/>
        <v xml:space="preserve"> 14.0% </v>
      </c>
      <c r="J37" t="s">
        <v>35</v>
      </c>
      <c r="K37" t="str">
        <f t="shared" si="6"/>
        <v xml:space="preserve"> I do not know </v>
      </c>
      <c r="L37" t="str">
        <f t="shared" si="7"/>
        <v xml:space="preserve"> 5.0% </v>
      </c>
      <c r="M37" t="s">
        <v>431</v>
      </c>
      <c r="N37" t="str">
        <f t="shared" si="8"/>
        <v xml:space="preserve"> I do not know </v>
      </c>
      <c r="O37" t="str">
        <f t="shared" si="9"/>
        <v xml:space="preserve"> 7.0% </v>
      </c>
      <c r="P37" t="s">
        <v>615</v>
      </c>
      <c r="Q37" t="str">
        <f t="shared" si="10"/>
        <v xml:space="preserve"> I do not know </v>
      </c>
      <c r="R37" t="str">
        <f t="shared" si="11"/>
        <v xml:space="preserve"> 15.0% </v>
      </c>
      <c r="S37" t="s">
        <v>678</v>
      </c>
      <c r="T37" t="str">
        <f t="shared" si="12"/>
        <v xml:space="preserve"> I do not know </v>
      </c>
      <c r="U37" t="str">
        <f t="shared" si="13"/>
        <v xml:space="preserve"> 3.0% </v>
      </c>
      <c r="V37" t="s">
        <v>728</v>
      </c>
      <c r="W37" t="str">
        <f t="shared" si="14"/>
        <v xml:space="preserve"> I do not know </v>
      </c>
      <c r="X37" t="str">
        <f t="shared" si="15"/>
        <v xml:space="preserve"> 10.0% </v>
      </c>
      <c r="Y37" t="s">
        <v>728</v>
      </c>
      <c r="Z37" t="str">
        <f t="shared" si="16"/>
        <v xml:space="preserve"> I do not know </v>
      </c>
      <c r="AA37" t="str">
        <f t="shared" si="17"/>
        <v xml:space="preserve"> 10.0% </v>
      </c>
      <c r="AB37" t="s">
        <v>615</v>
      </c>
      <c r="AC37" t="str">
        <f t="shared" si="18"/>
        <v xml:space="preserve"> I do not know </v>
      </c>
      <c r="AD37" t="str">
        <f t="shared" si="19"/>
        <v xml:space="preserve"> 15.0% </v>
      </c>
      <c r="AF37" t="s">
        <v>853</v>
      </c>
      <c r="AG37" t="str">
        <f t="shared" si="20"/>
        <v xml:space="preserve"> I do not know </v>
      </c>
      <c r="AH37" t="str">
        <f t="shared" si="21"/>
        <v xml:space="preserve"> 2.0% </v>
      </c>
      <c r="AI37" t="s">
        <v>953</v>
      </c>
      <c r="AK37" t="str">
        <f t="shared" si="22"/>
        <v xml:space="preserve"> I do not know </v>
      </c>
      <c r="AL37" t="str">
        <f t="shared" si="23"/>
        <v xml:space="preserve"> 8.0% </v>
      </c>
      <c r="AM37" t="s">
        <v>35</v>
      </c>
      <c r="AN37" t="s">
        <v>0</v>
      </c>
      <c r="AO37" t="str">
        <f t="shared" si="24"/>
        <v xml:space="preserve"> 5.0% </v>
      </c>
      <c r="AP37" t="s">
        <v>953</v>
      </c>
      <c r="AQ37" t="str">
        <f t="shared" si="25"/>
        <v xml:space="preserve"> I do not know </v>
      </c>
      <c r="AR37" t="str">
        <f t="shared" si="26"/>
        <v xml:space="preserve"> 8.0% </v>
      </c>
      <c r="AS37" t="s">
        <v>853</v>
      </c>
      <c r="AT37" t="str">
        <f t="shared" si="27"/>
        <v xml:space="preserve"> I do not know </v>
      </c>
      <c r="AU37" t="str">
        <f t="shared" si="28"/>
        <v xml:space="preserve"> 2.0% </v>
      </c>
      <c r="AV37" t="s">
        <v>1112</v>
      </c>
      <c r="AW37" t="str">
        <f t="shared" si="29"/>
        <v>I do not know</v>
      </c>
      <c r="AX37" t="str">
        <f t="shared" si="30"/>
        <v xml:space="preserve"> 0.0% </v>
      </c>
    </row>
    <row r="38" spans="1:50" x14ac:dyDescent="0.45">
      <c r="A38" t="s">
        <v>36</v>
      </c>
      <c r="B38" t="str">
        <f t="shared" si="0"/>
        <v/>
      </c>
      <c r="C38" t="str">
        <f t="shared" si="1"/>
        <v/>
      </c>
      <c r="D38" t="s">
        <v>208</v>
      </c>
      <c r="E38" t="str">
        <f t="shared" si="2"/>
        <v/>
      </c>
      <c r="F38" t="str">
        <f t="shared" si="3"/>
        <v/>
      </c>
      <c r="G38" t="s">
        <v>36</v>
      </c>
      <c r="H38" t="str">
        <f t="shared" si="4"/>
        <v/>
      </c>
      <c r="I38" t="str">
        <f t="shared" si="5"/>
        <v/>
      </c>
      <c r="J38" t="s">
        <v>36</v>
      </c>
      <c r="K38" t="str">
        <f t="shared" si="6"/>
        <v/>
      </c>
      <c r="L38" t="str">
        <f t="shared" si="7"/>
        <v/>
      </c>
      <c r="M38" t="s">
        <v>36</v>
      </c>
      <c r="N38" t="str">
        <f t="shared" si="8"/>
        <v/>
      </c>
      <c r="O38" t="str">
        <f t="shared" si="9"/>
        <v/>
      </c>
      <c r="P38" t="s">
        <v>36</v>
      </c>
      <c r="Q38" t="str">
        <f t="shared" si="10"/>
        <v/>
      </c>
      <c r="R38" t="str">
        <f t="shared" si="11"/>
        <v/>
      </c>
      <c r="S38" t="s">
        <v>679</v>
      </c>
      <c r="T38" t="str">
        <f t="shared" si="12"/>
        <v/>
      </c>
      <c r="U38" t="str">
        <f t="shared" si="13"/>
        <v/>
      </c>
      <c r="V38" t="s">
        <v>679</v>
      </c>
      <c r="W38" t="str">
        <f t="shared" si="14"/>
        <v/>
      </c>
      <c r="X38" t="str">
        <f t="shared" si="15"/>
        <v/>
      </c>
      <c r="Y38" t="s">
        <v>36</v>
      </c>
      <c r="Z38" t="str">
        <f t="shared" si="16"/>
        <v/>
      </c>
      <c r="AA38" t="str">
        <f t="shared" si="17"/>
        <v/>
      </c>
      <c r="AB38" t="s">
        <v>36</v>
      </c>
      <c r="AC38" t="str">
        <f t="shared" si="18"/>
        <v/>
      </c>
      <c r="AD38" t="str">
        <f t="shared" si="19"/>
        <v/>
      </c>
      <c r="AF38" t="s">
        <v>36</v>
      </c>
      <c r="AG38" t="str">
        <f t="shared" si="20"/>
        <v/>
      </c>
      <c r="AH38" t="str">
        <f t="shared" si="21"/>
        <v/>
      </c>
      <c r="AI38" t="s">
        <v>36</v>
      </c>
      <c r="AK38" t="str">
        <f t="shared" si="22"/>
        <v/>
      </c>
      <c r="AL38" t="str">
        <f t="shared" si="23"/>
        <v/>
      </c>
      <c r="AM38" t="s">
        <v>36</v>
      </c>
      <c r="AN38" t="s">
        <v>0</v>
      </c>
      <c r="AO38" t="str">
        <f t="shared" si="24"/>
        <v/>
      </c>
      <c r="AP38" t="s">
        <v>36</v>
      </c>
      <c r="AQ38" t="str">
        <f t="shared" si="25"/>
        <v/>
      </c>
      <c r="AR38" t="str">
        <f t="shared" si="26"/>
        <v/>
      </c>
      <c r="AS38" t="s">
        <v>36</v>
      </c>
      <c r="AT38" t="str">
        <f t="shared" si="27"/>
        <v/>
      </c>
      <c r="AU38" t="str">
        <f t="shared" si="28"/>
        <v/>
      </c>
      <c r="AV38" t="s">
        <v>1113</v>
      </c>
      <c r="AW38" t="str">
        <f t="shared" si="29"/>
        <v/>
      </c>
      <c r="AX38" t="str">
        <f t="shared" si="30"/>
        <v/>
      </c>
    </row>
    <row r="39" spans="1:50" x14ac:dyDescent="0.45">
      <c r="A39" t="s">
        <v>37</v>
      </c>
      <c r="B39" t="str">
        <f t="shared" si="0"/>
        <v xml:space="preserve"> Revenue Assurance </v>
      </c>
      <c r="C39" t="str">
        <f t="shared" si="1"/>
        <v xml:space="preserve"> 50.0% </v>
      </c>
      <c r="D39" t="s">
        <v>209</v>
      </c>
      <c r="E39" t="str">
        <f t="shared" si="2"/>
        <v xml:space="preserve"> Revenue Assurance </v>
      </c>
      <c r="F39" t="str">
        <f t="shared" si="3"/>
        <v xml:space="preserve"> 52.0% </v>
      </c>
      <c r="G39" t="s">
        <v>37</v>
      </c>
      <c r="H39" t="str">
        <f t="shared" si="4"/>
        <v xml:space="preserve"> Revenue Assurance </v>
      </c>
      <c r="I39" t="str">
        <f t="shared" si="5"/>
        <v xml:space="preserve"> 50.0% </v>
      </c>
      <c r="J39" t="s">
        <v>37</v>
      </c>
      <c r="K39" t="str">
        <f t="shared" si="6"/>
        <v xml:space="preserve"> Revenue Assurance </v>
      </c>
      <c r="L39" t="str">
        <f t="shared" si="7"/>
        <v xml:space="preserve"> 50.0% </v>
      </c>
      <c r="M39" t="s">
        <v>209</v>
      </c>
      <c r="N39" t="str">
        <f t="shared" si="8"/>
        <v xml:space="preserve"> Revenue Assurance </v>
      </c>
      <c r="O39" t="str">
        <f t="shared" si="9"/>
        <v xml:space="preserve"> 52.0% </v>
      </c>
      <c r="P39" t="s">
        <v>37</v>
      </c>
      <c r="Q39" t="str">
        <f t="shared" si="10"/>
        <v xml:space="preserve"> Revenue Assurance </v>
      </c>
      <c r="R39" t="str">
        <f t="shared" si="11"/>
        <v xml:space="preserve"> 50.0% </v>
      </c>
      <c r="S39" t="s">
        <v>680</v>
      </c>
      <c r="T39" t="str">
        <f t="shared" si="12"/>
        <v xml:space="preserve"> Revenue Assurance </v>
      </c>
      <c r="U39" t="str">
        <f t="shared" si="13"/>
        <v xml:space="preserve"> 55.0% </v>
      </c>
      <c r="V39" t="s">
        <v>680</v>
      </c>
      <c r="W39" t="str">
        <f t="shared" si="14"/>
        <v xml:space="preserve"> Revenue Assurance </v>
      </c>
      <c r="X39" t="str">
        <f t="shared" si="15"/>
        <v xml:space="preserve"> 55.0% </v>
      </c>
      <c r="Y39" t="s">
        <v>680</v>
      </c>
      <c r="Z39" t="str">
        <f t="shared" si="16"/>
        <v xml:space="preserve"> Revenue Assurance </v>
      </c>
      <c r="AA39" t="str">
        <f t="shared" si="17"/>
        <v xml:space="preserve"> 55.0% </v>
      </c>
      <c r="AB39" t="s">
        <v>680</v>
      </c>
      <c r="AC39" t="str">
        <f t="shared" si="18"/>
        <v xml:space="preserve"> Revenue Assurance </v>
      </c>
      <c r="AD39" t="str">
        <f t="shared" si="19"/>
        <v xml:space="preserve"> 55.0% </v>
      </c>
      <c r="AF39" t="s">
        <v>209</v>
      </c>
      <c r="AG39" t="str">
        <f t="shared" si="20"/>
        <v xml:space="preserve"> Revenue Assurance </v>
      </c>
      <c r="AH39" t="str">
        <f t="shared" si="21"/>
        <v xml:space="preserve"> 52.0% </v>
      </c>
      <c r="AI39" t="s">
        <v>37</v>
      </c>
      <c r="AK39" t="str">
        <f t="shared" si="22"/>
        <v xml:space="preserve"> Revenue Assurance </v>
      </c>
      <c r="AL39" t="str">
        <f t="shared" si="23"/>
        <v xml:space="preserve"> 50.0% </v>
      </c>
      <c r="AM39" t="s">
        <v>37</v>
      </c>
      <c r="AN39" t="s">
        <v>0</v>
      </c>
      <c r="AO39" t="str">
        <f t="shared" si="24"/>
        <v xml:space="preserve"> 50.0% </v>
      </c>
      <c r="AP39" t="s">
        <v>680</v>
      </c>
      <c r="AQ39" t="str">
        <f t="shared" si="25"/>
        <v xml:space="preserve"> Revenue Assurance </v>
      </c>
      <c r="AR39" t="str">
        <f t="shared" si="26"/>
        <v xml:space="preserve"> 55.0% </v>
      </c>
      <c r="AS39" t="s">
        <v>1051</v>
      </c>
      <c r="AT39" t="str">
        <f t="shared" si="27"/>
        <v xml:space="preserve"> Revenue Assurance </v>
      </c>
      <c r="AU39" t="str">
        <f t="shared" si="28"/>
        <v xml:space="preserve"> 57.0% </v>
      </c>
      <c r="AV39" t="s">
        <v>1114</v>
      </c>
      <c r="AW39" t="str">
        <f t="shared" si="29"/>
        <v>Revenue Assurance</v>
      </c>
      <c r="AX39" t="str">
        <f t="shared" si="30"/>
        <v xml:space="preserve"> 50.0% </v>
      </c>
    </row>
    <row r="40" spans="1:50" x14ac:dyDescent="0.45">
      <c r="A40" t="s">
        <v>38</v>
      </c>
      <c r="B40" t="str">
        <f t="shared" si="0"/>
        <v xml:space="preserve"> Fraud Management </v>
      </c>
      <c r="C40" t="str">
        <f t="shared" si="1"/>
        <v xml:space="preserve"> 35.0% </v>
      </c>
      <c r="D40" t="s">
        <v>210</v>
      </c>
      <c r="E40" t="str">
        <f t="shared" si="2"/>
        <v xml:space="preserve"> Fraud Management </v>
      </c>
      <c r="F40" t="str">
        <f t="shared" si="3"/>
        <v xml:space="preserve"> 33.0% </v>
      </c>
      <c r="G40" t="s">
        <v>38</v>
      </c>
      <c r="H40" t="str">
        <f t="shared" si="4"/>
        <v xml:space="preserve"> Fraud Management </v>
      </c>
      <c r="I40" t="str">
        <f t="shared" si="5"/>
        <v xml:space="preserve"> 35.0% </v>
      </c>
      <c r="J40" t="s">
        <v>351</v>
      </c>
      <c r="K40" t="str">
        <f t="shared" si="6"/>
        <v xml:space="preserve"> Fraud Management </v>
      </c>
      <c r="L40" t="str">
        <f t="shared" si="7"/>
        <v xml:space="preserve"> 30.0% </v>
      </c>
      <c r="M40" t="s">
        <v>432</v>
      </c>
      <c r="N40" t="str">
        <f t="shared" si="8"/>
        <v xml:space="preserve"> Fraud Management </v>
      </c>
      <c r="O40" t="str">
        <f t="shared" si="9"/>
        <v xml:space="preserve"> 31.0% </v>
      </c>
      <c r="P40" t="s">
        <v>616</v>
      </c>
      <c r="Q40" t="str">
        <f t="shared" si="10"/>
        <v xml:space="preserve"> Fraud Management </v>
      </c>
      <c r="R40" t="str">
        <f t="shared" si="11"/>
        <v xml:space="preserve"> 32.0% </v>
      </c>
      <c r="S40" t="s">
        <v>351</v>
      </c>
      <c r="T40" t="str">
        <f t="shared" si="12"/>
        <v xml:space="preserve"> Fraud Management </v>
      </c>
      <c r="U40" t="str">
        <f t="shared" si="13"/>
        <v xml:space="preserve"> 30.0% </v>
      </c>
      <c r="V40" t="s">
        <v>351</v>
      </c>
      <c r="W40" t="str">
        <f t="shared" si="14"/>
        <v xml:space="preserve"> Fraud Management </v>
      </c>
      <c r="X40" t="str">
        <f t="shared" si="15"/>
        <v xml:space="preserve"> 30.0% </v>
      </c>
      <c r="Y40" t="s">
        <v>351</v>
      </c>
      <c r="Z40" t="str">
        <f t="shared" si="16"/>
        <v xml:space="preserve"> Fraud Management </v>
      </c>
      <c r="AA40" t="str">
        <f t="shared" si="17"/>
        <v xml:space="preserve"> 30.0% </v>
      </c>
      <c r="AB40" t="s">
        <v>351</v>
      </c>
      <c r="AC40" t="str">
        <f t="shared" si="18"/>
        <v xml:space="preserve"> Fraud Management </v>
      </c>
      <c r="AD40" t="str">
        <f t="shared" si="19"/>
        <v xml:space="preserve"> 30.0% </v>
      </c>
      <c r="AF40" t="s">
        <v>210</v>
      </c>
      <c r="AG40" t="str">
        <f t="shared" si="20"/>
        <v xml:space="preserve"> Fraud Management </v>
      </c>
      <c r="AH40" t="str">
        <f t="shared" si="21"/>
        <v xml:space="preserve"> 33.0% </v>
      </c>
      <c r="AI40" t="s">
        <v>38</v>
      </c>
      <c r="AK40" t="str">
        <f t="shared" si="22"/>
        <v xml:space="preserve"> Fraud Management </v>
      </c>
      <c r="AL40" t="str">
        <f t="shared" si="23"/>
        <v xml:space="preserve"> 35.0% </v>
      </c>
      <c r="AM40" t="s">
        <v>38</v>
      </c>
      <c r="AN40" t="s">
        <v>0</v>
      </c>
      <c r="AO40" t="str">
        <f t="shared" si="24"/>
        <v xml:space="preserve"> 35.0% </v>
      </c>
      <c r="AP40" t="s">
        <v>351</v>
      </c>
      <c r="AQ40" t="str">
        <f t="shared" si="25"/>
        <v xml:space="preserve"> Fraud Management </v>
      </c>
      <c r="AR40" t="str">
        <f t="shared" si="26"/>
        <v xml:space="preserve"> 30.0% </v>
      </c>
      <c r="AS40" t="s">
        <v>351</v>
      </c>
      <c r="AT40" t="str">
        <f t="shared" si="27"/>
        <v xml:space="preserve"> Fraud Management </v>
      </c>
      <c r="AU40" t="str">
        <f t="shared" si="28"/>
        <v xml:space="preserve"> 30.0% </v>
      </c>
      <c r="AV40" t="s">
        <v>1115</v>
      </c>
      <c r="AW40" t="str">
        <f t="shared" si="29"/>
        <v>Fraud Management</v>
      </c>
      <c r="AX40" t="str">
        <f t="shared" si="30"/>
        <v xml:space="preserve"> 35.0% </v>
      </c>
    </row>
    <row r="41" spans="1:50" x14ac:dyDescent="0.45">
      <c r="A41" t="s">
        <v>39</v>
      </c>
      <c r="B41" t="str">
        <f t="shared" si="0"/>
        <v xml:space="preserve"> Other </v>
      </c>
      <c r="C41" t="str">
        <f t="shared" si="1"/>
        <v xml:space="preserve"> 15.0% </v>
      </c>
      <c r="D41" t="s">
        <v>39</v>
      </c>
      <c r="E41" t="str">
        <f t="shared" si="2"/>
        <v xml:space="preserve"> Other </v>
      </c>
      <c r="F41" t="str">
        <f t="shared" si="3"/>
        <v xml:space="preserve"> 15.0% </v>
      </c>
      <c r="G41" t="s">
        <v>39</v>
      </c>
      <c r="H41" t="str">
        <f t="shared" si="4"/>
        <v xml:space="preserve"> Other </v>
      </c>
      <c r="I41" t="str">
        <f t="shared" si="5"/>
        <v xml:space="preserve"> 15.0% </v>
      </c>
      <c r="J41" t="s">
        <v>352</v>
      </c>
      <c r="K41" t="str">
        <f t="shared" si="6"/>
        <v xml:space="preserve"> Other </v>
      </c>
      <c r="L41" t="str">
        <f t="shared" si="7"/>
        <v xml:space="preserve"> 20.0% </v>
      </c>
      <c r="M41" t="s">
        <v>433</v>
      </c>
      <c r="N41" t="str">
        <f t="shared" si="8"/>
        <v xml:space="preserve"> Other </v>
      </c>
      <c r="O41" t="str">
        <f t="shared" si="9"/>
        <v xml:space="preserve"> 17.0% </v>
      </c>
      <c r="P41" t="s">
        <v>617</v>
      </c>
      <c r="Q41" t="str">
        <f t="shared" si="10"/>
        <v xml:space="preserve"> Other </v>
      </c>
      <c r="R41" t="str">
        <f t="shared" si="11"/>
        <v xml:space="preserve"> 18.0% </v>
      </c>
      <c r="S41" t="s">
        <v>39</v>
      </c>
      <c r="T41" t="str">
        <f t="shared" si="12"/>
        <v xml:space="preserve"> Other </v>
      </c>
      <c r="U41" t="str">
        <f t="shared" si="13"/>
        <v xml:space="preserve"> 15.0% </v>
      </c>
      <c r="V41" t="s">
        <v>39</v>
      </c>
      <c r="W41" t="str">
        <f t="shared" si="14"/>
        <v xml:space="preserve"> Other </v>
      </c>
      <c r="X41" t="str">
        <f t="shared" si="15"/>
        <v xml:space="preserve"> 15.0% </v>
      </c>
      <c r="Y41" t="s">
        <v>39</v>
      </c>
      <c r="Z41" t="str">
        <f t="shared" si="16"/>
        <v xml:space="preserve"> Other </v>
      </c>
      <c r="AA41" t="str">
        <f t="shared" si="17"/>
        <v xml:space="preserve"> 15.0% </v>
      </c>
      <c r="AB41" t="s">
        <v>39</v>
      </c>
      <c r="AC41" t="str">
        <f t="shared" si="18"/>
        <v xml:space="preserve"> Other </v>
      </c>
      <c r="AD41" t="str">
        <f t="shared" si="19"/>
        <v xml:space="preserve"> 15.0% </v>
      </c>
      <c r="AF41" t="s">
        <v>39</v>
      </c>
      <c r="AG41" t="str">
        <f t="shared" si="20"/>
        <v xml:space="preserve"> Other </v>
      </c>
      <c r="AH41" t="str">
        <f t="shared" si="21"/>
        <v xml:space="preserve"> 15.0% </v>
      </c>
      <c r="AI41" t="s">
        <v>39</v>
      </c>
      <c r="AK41" t="str">
        <f t="shared" si="22"/>
        <v xml:space="preserve"> Other </v>
      </c>
      <c r="AL41" t="str">
        <f t="shared" si="23"/>
        <v xml:space="preserve"> 15.0% </v>
      </c>
      <c r="AM41" t="s">
        <v>39</v>
      </c>
      <c r="AN41" t="s">
        <v>0</v>
      </c>
      <c r="AO41" t="str">
        <f t="shared" si="24"/>
        <v xml:space="preserve"> 15.0% </v>
      </c>
      <c r="AP41" t="s">
        <v>39</v>
      </c>
      <c r="AQ41" t="str">
        <f t="shared" si="25"/>
        <v xml:space="preserve"> Other </v>
      </c>
      <c r="AR41" t="str">
        <f t="shared" si="26"/>
        <v xml:space="preserve"> 15.0% </v>
      </c>
      <c r="AS41" t="s">
        <v>1052</v>
      </c>
      <c r="AT41" t="str">
        <f t="shared" si="27"/>
        <v xml:space="preserve"> Other </v>
      </c>
      <c r="AU41" t="str">
        <f t="shared" si="28"/>
        <v xml:space="preserve"> 13.0% </v>
      </c>
      <c r="AV41" t="s">
        <v>1116</v>
      </c>
      <c r="AW41" t="str">
        <f t="shared" si="29"/>
        <v>Other</v>
      </c>
      <c r="AX41" t="str">
        <f t="shared" si="30"/>
        <v xml:space="preserve"> 15.0% </v>
      </c>
    </row>
    <row r="42" spans="1:50" x14ac:dyDescent="0.45">
      <c r="A42" t="s">
        <v>40</v>
      </c>
      <c r="B42" t="str">
        <f t="shared" si="0"/>
        <v/>
      </c>
      <c r="C42" t="str">
        <f t="shared" si="1"/>
        <v/>
      </c>
      <c r="D42" t="s">
        <v>211</v>
      </c>
      <c r="E42" t="str">
        <f t="shared" si="2"/>
        <v/>
      </c>
      <c r="F42" t="str">
        <f t="shared" si="3"/>
        <v/>
      </c>
      <c r="G42" t="s">
        <v>40</v>
      </c>
      <c r="H42" t="str">
        <f t="shared" si="4"/>
        <v/>
      </c>
      <c r="I42" t="str">
        <f t="shared" si="5"/>
        <v/>
      </c>
      <c r="J42" t="s">
        <v>40</v>
      </c>
      <c r="K42" t="str">
        <f t="shared" si="6"/>
        <v/>
      </c>
      <c r="L42" t="str">
        <f t="shared" si="7"/>
        <v/>
      </c>
      <c r="M42" t="s">
        <v>40</v>
      </c>
      <c r="N42" t="str">
        <f t="shared" si="8"/>
        <v/>
      </c>
      <c r="O42" t="str">
        <f t="shared" si="9"/>
        <v/>
      </c>
      <c r="P42" t="s">
        <v>40</v>
      </c>
      <c r="Q42" t="str">
        <f t="shared" si="10"/>
        <v/>
      </c>
      <c r="R42" t="str">
        <f t="shared" si="11"/>
        <v/>
      </c>
      <c r="S42" t="s">
        <v>681</v>
      </c>
      <c r="T42" t="str">
        <f t="shared" si="12"/>
        <v/>
      </c>
      <c r="U42" t="str">
        <f t="shared" si="13"/>
        <v/>
      </c>
      <c r="V42" t="s">
        <v>681</v>
      </c>
      <c r="W42" t="str">
        <f t="shared" si="14"/>
        <v/>
      </c>
      <c r="X42" t="str">
        <f t="shared" si="15"/>
        <v/>
      </c>
      <c r="Y42" t="s">
        <v>40</v>
      </c>
      <c r="Z42" t="str">
        <f t="shared" si="16"/>
        <v/>
      </c>
      <c r="AA42" t="str">
        <f t="shared" si="17"/>
        <v/>
      </c>
      <c r="AB42" t="s">
        <v>40</v>
      </c>
      <c r="AC42" t="str">
        <f t="shared" si="18"/>
        <v/>
      </c>
      <c r="AD42" t="str">
        <f t="shared" si="19"/>
        <v/>
      </c>
      <c r="AF42" t="s">
        <v>40</v>
      </c>
      <c r="AG42" t="str">
        <f t="shared" si="20"/>
        <v/>
      </c>
      <c r="AH42" t="str">
        <f t="shared" si="21"/>
        <v/>
      </c>
      <c r="AI42" t="s">
        <v>40</v>
      </c>
      <c r="AK42" t="str">
        <f t="shared" si="22"/>
        <v/>
      </c>
      <c r="AL42" t="str">
        <f t="shared" si="23"/>
        <v/>
      </c>
      <c r="AM42" t="s">
        <v>40</v>
      </c>
      <c r="AN42" t="s">
        <v>0</v>
      </c>
      <c r="AO42" t="str">
        <f t="shared" si="24"/>
        <v/>
      </c>
      <c r="AP42" t="s">
        <v>40</v>
      </c>
      <c r="AQ42" t="str">
        <f t="shared" si="25"/>
        <v/>
      </c>
      <c r="AR42" t="str">
        <f t="shared" si="26"/>
        <v/>
      </c>
      <c r="AS42" t="s">
        <v>40</v>
      </c>
      <c r="AT42" t="str">
        <f t="shared" si="27"/>
        <v/>
      </c>
      <c r="AU42" t="str">
        <f t="shared" si="28"/>
        <v/>
      </c>
      <c r="AV42" t="s">
        <v>1117</v>
      </c>
      <c r="AW42" t="str">
        <f t="shared" si="29"/>
        <v/>
      </c>
      <c r="AX42" t="str">
        <f t="shared" si="30"/>
        <v/>
      </c>
    </row>
    <row r="43" spans="1:50" x14ac:dyDescent="0.45">
      <c r="A43" t="s">
        <v>41</v>
      </c>
      <c r="B43" t="str">
        <f t="shared" si="0"/>
        <v/>
      </c>
      <c r="C43" t="str">
        <f t="shared" si="1"/>
        <v/>
      </c>
      <c r="D43" t="s">
        <v>212</v>
      </c>
      <c r="E43" t="str">
        <f t="shared" si="2"/>
        <v/>
      </c>
      <c r="F43" t="str">
        <f t="shared" si="3"/>
        <v/>
      </c>
      <c r="G43" t="s">
        <v>41</v>
      </c>
      <c r="H43" t="str">
        <f t="shared" si="4"/>
        <v/>
      </c>
      <c r="I43" t="str">
        <f t="shared" si="5"/>
        <v/>
      </c>
      <c r="J43" t="s">
        <v>41</v>
      </c>
      <c r="K43" t="str">
        <f t="shared" si="6"/>
        <v/>
      </c>
      <c r="L43" t="str">
        <f t="shared" si="7"/>
        <v/>
      </c>
      <c r="M43" t="s">
        <v>41</v>
      </c>
      <c r="N43" t="str">
        <f t="shared" si="8"/>
        <v/>
      </c>
      <c r="O43" t="str">
        <f t="shared" si="9"/>
        <v/>
      </c>
      <c r="P43" t="s">
        <v>41</v>
      </c>
      <c r="Q43" t="str">
        <f t="shared" si="10"/>
        <v/>
      </c>
      <c r="R43" t="str">
        <f t="shared" si="11"/>
        <v/>
      </c>
      <c r="S43" t="s">
        <v>41</v>
      </c>
      <c r="T43" t="str">
        <f t="shared" si="12"/>
        <v/>
      </c>
      <c r="U43" t="str">
        <f t="shared" si="13"/>
        <v/>
      </c>
      <c r="V43" t="s">
        <v>41</v>
      </c>
      <c r="W43" t="str">
        <f t="shared" si="14"/>
        <v/>
      </c>
      <c r="X43" t="str">
        <f t="shared" si="15"/>
        <v/>
      </c>
      <c r="Y43" t="s">
        <v>41</v>
      </c>
      <c r="Z43" t="str">
        <f t="shared" si="16"/>
        <v/>
      </c>
      <c r="AA43" t="str">
        <f t="shared" si="17"/>
        <v/>
      </c>
      <c r="AB43" t="s">
        <v>41</v>
      </c>
      <c r="AC43" t="str">
        <f t="shared" si="18"/>
        <v/>
      </c>
      <c r="AD43" t="str">
        <f t="shared" si="19"/>
        <v/>
      </c>
      <c r="AF43" t="s">
        <v>41</v>
      </c>
      <c r="AG43" t="str">
        <f t="shared" si="20"/>
        <v/>
      </c>
      <c r="AH43" t="str">
        <f t="shared" si="21"/>
        <v/>
      </c>
      <c r="AI43" t="s">
        <v>41</v>
      </c>
      <c r="AK43" t="str">
        <f t="shared" si="22"/>
        <v/>
      </c>
      <c r="AL43" t="str">
        <f t="shared" si="23"/>
        <v/>
      </c>
      <c r="AM43" t="s">
        <v>41</v>
      </c>
      <c r="AN43" t="s">
        <v>0</v>
      </c>
      <c r="AO43" t="str">
        <f t="shared" si="24"/>
        <v/>
      </c>
      <c r="AP43" t="s">
        <v>41</v>
      </c>
      <c r="AQ43" t="str">
        <f t="shared" si="25"/>
        <v/>
      </c>
      <c r="AR43" t="str">
        <f t="shared" si="26"/>
        <v/>
      </c>
      <c r="AS43" t="s">
        <v>41</v>
      </c>
      <c r="AT43" t="str">
        <f t="shared" si="27"/>
        <v/>
      </c>
      <c r="AU43" t="str">
        <f t="shared" si="28"/>
        <v/>
      </c>
      <c r="AV43" t="s">
        <v>1118</v>
      </c>
      <c r="AW43" t="str">
        <f t="shared" si="29"/>
        <v/>
      </c>
      <c r="AX43" t="str">
        <f t="shared" si="30"/>
        <v/>
      </c>
    </row>
    <row r="44" spans="1:50" x14ac:dyDescent="0.45">
      <c r="A44" t="s">
        <v>42</v>
      </c>
      <c r="B44" t="str">
        <f t="shared" si="0"/>
        <v xml:space="preserve"> Not using AI today </v>
      </c>
      <c r="C44" t="str">
        <f t="shared" si="1"/>
        <v xml:space="preserve"> 15.0% </v>
      </c>
      <c r="D44" t="s">
        <v>213</v>
      </c>
      <c r="E44" t="str">
        <f t="shared" si="2"/>
        <v xml:space="preserve"> Not using AI today </v>
      </c>
      <c r="F44" t="str">
        <f t="shared" si="3"/>
        <v xml:space="preserve"> 10.0% </v>
      </c>
      <c r="G44" t="s">
        <v>42</v>
      </c>
      <c r="H44" t="str">
        <f t="shared" si="4"/>
        <v xml:space="preserve"> Not using AI today </v>
      </c>
      <c r="I44" t="str">
        <f t="shared" si="5"/>
        <v xml:space="preserve"> 15.0% </v>
      </c>
      <c r="J44" t="s">
        <v>213</v>
      </c>
      <c r="K44" t="str">
        <f t="shared" si="6"/>
        <v xml:space="preserve"> Not using AI today </v>
      </c>
      <c r="L44" t="str">
        <f t="shared" si="7"/>
        <v xml:space="preserve"> 10.0% </v>
      </c>
      <c r="M44" t="s">
        <v>42</v>
      </c>
      <c r="N44" t="str">
        <f t="shared" si="8"/>
        <v xml:space="preserve"> Not using AI today </v>
      </c>
      <c r="O44" t="str">
        <f t="shared" si="9"/>
        <v xml:space="preserve"> 15.0% </v>
      </c>
      <c r="P44" t="s">
        <v>42</v>
      </c>
      <c r="Q44" t="str">
        <f t="shared" si="10"/>
        <v xml:space="preserve"> Not using AI today </v>
      </c>
      <c r="R44" t="str">
        <f t="shared" si="11"/>
        <v xml:space="preserve"> 15.0% </v>
      </c>
      <c r="S44" t="s">
        <v>682</v>
      </c>
      <c r="T44" t="str">
        <f t="shared" si="12"/>
        <v xml:space="preserve"> Not using AI today </v>
      </c>
      <c r="U44" t="str">
        <f t="shared" si="13"/>
        <v xml:space="preserve"> 12.0% </v>
      </c>
      <c r="V44" t="s">
        <v>42</v>
      </c>
      <c r="W44" t="str">
        <f t="shared" si="14"/>
        <v xml:space="preserve"> Not using AI today </v>
      </c>
      <c r="X44" t="str">
        <f t="shared" si="15"/>
        <v xml:space="preserve"> 15.0% </v>
      </c>
      <c r="Y44" t="s">
        <v>357</v>
      </c>
      <c r="Z44" t="str">
        <f t="shared" si="16"/>
        <v xml:space="preserve"> Not using AI today </v>
      </c>
      <c r="AA44" t="str">
        <f t="shared" si="17"/>
        <v xml:space="preserve"> 20.0% </v>
      </c>
      <c r="AB44" t="s">
        <v>223</v>
      </c>
      <c r="AC44" t="str">
        <f t="shared" si="18"/>
        <v xml:space="preserve"> Not using AI today </v>
      </c>
      <c r="AD44" t="str">
        <f t="shared" si="19"/>
        <v xml:space="preserve"> 18.0% </v>
      </c>
      <c r="AF44" t="s">
        <v>213</v>
      </c>
      <c r="AG44" t="str">
        <f t="shared" si="20"/>
        <v xml:space="preserve"> Not using AI today </v>
      </c>
      <c r="AH44" t="str">
        <f t="shared" si="21"/>
        <v xml:space="preserve"> 10.0% </v>
      </c>
      <c r="AI44" t="s">
        <v>42</v>
      </c>
      <c r="AK44" t="str">
        <f t="shared" si="22"/>
        <v xml:space="preserve"> Not using AI today </v>
      </c>
      <c r="AL44" t="str">
        <f t="shared" si="23"/>
        <v xml:space="preserve"> 15.0% </v>
      </c>
      <c r="AM44" t="s">
        <v>357</v>
      </c>
      <c r="AN44" t="s">
        <v>0</v>
      </c>
      <c r="AO44" t="str">
        <f t="shared" si="24"/>
        <v xml:space="preserve"> 20.0% </v>
      </c>
      <c r="AP44" t="s">
        <v>985</v>
      </c>
      <c r="AQ44" t="str">
        <f t="shared" si="25"/>
        <v xml:space="preserve"> Not using AI today </v>
      </c>
      <c r="AR44" t="str">
        <f t="shared" si="26"/>
        <v xml:space="preserve"> 16.0% </v>
      </c>
      <c r="AS44" t="s">
        <v>213</v>
      </c>
      <c r="AT44" t="str">
        <f t="shared" si="27"/>
        <v xml:space="preserve"> Not using AI today </v>
      </c>
      <c r="AU44" t="str">
        <f t="shared" si="28"/>
        <v xml:space="preserve"> 10.0% </v>
      </c>
      <c r="AV44" t="s">
        <v>1119</v>
      </c>
      <c r="AW44" t="str">
        <f t="shared" si="29"/>
        <v>Not using AI today</v>
      </c>
      <c r="AX44" t="str">
        <f t="shared" si="30"/>
        <v xml:space="preserve"> 15.0% </v>
      </c>
    </row>
    <row r="45" spans="1:50" x14ac:dyDescent="0.45">
      <c r="A45" t="s">
        <v>43</v>
      </c>
      <c r="B45" t="str">
        <f t="shared" si="0"/>
        <v xml:space="preserve"> Exploring / pilots </v>
      </c>
      <c r="C45" t="str">
        <f t="shared" si="1"/>
        <v xml:space="preserve"> 35.0% </v>
      </c>
      <c r="D45" t="s">
        <v>214</v>
      </c>
      <c r="E45" t="str">
        <f t="shared" si="2"/>
        <v xml:space="preserve"> Exploring / pilots </v>
      </c>
      <c r="F45" t="str">
        <f t="shared" si="3"/>
        <v xml:space="preserve"> 30.0% </v>
      </c>
      <c r="G45" t="s">
        <v>551</v>
      </c>
      <c r="H45" t="str">
        <f t="shared" si="4"/>
        <v xml:space="preserve"> Exploring / pilots </v>
      </c>
      <c r="I45" t="str">
        <f t="shared" si="5"/>
        <v xml:space="preserve"> 32.0% </v>
      </c>
      <c r="J45" t="s">
        <v>353</v>
      </c>
      <c r="K45" t="str">
        <f t="shared" si="6"/>
        <v xml:space="preserve"> Exploring / pilots </v>
      </c>
      <c r="L45" t="str">
        <f t="shared" si="7"/>
        <v xml:space="preserve"> 25.0% </v>
      </c>
      <c r="M45" t="s">
        <v>434</v>
      </c>
      <c r="N45" t="str">
        <f t="shared" si="8"/>
        <v xml:space="preserve"> Exploring / pilots </v>
      </c>
      <c r="O45" t="str">
        <f t="shared" si="9"/>
        <v xml:space="preserve"> 33.0% </v>
      </c>
      <c r="P45" t="s">
        <v>214</v>
      </c>
      <c r="Q45" t="str">
        <f t="shared" si="10"/>
        <v xml:space="preserve"> Exploring / pilots </v>
      </c>
      <c r="R45" t="str">
        <f t="shared" si="11"/>
        <v xml:space="preserve"> 30.0% </v>
      </c>
      <c r="S45" t="s">
        <v>683</v>
      </c>
      <c r="T45" t="str">
        <f t="shared" si="12"/>
        <v xml:space="preserve"> Exploring / pilots </v>
      </c>
      <c r="U45" t="str">
        <f t="shared" si="13"/>
        <v xml:space="preserve"> 28.0% </v>
      </c>
      <c r="V45" t="s">
        <v>353</v>
      </c>
      <c r="W45" t="str">
        <f t="shared" si="14"/>
        <v xml:space="preserve"> Exploring / pilots </v>
      </c>
      <c r="X45" t="str">
        <f t="shared" si="15"/>
        <v xml:space="preserve"> 25.0% </v>
      </c>
      <c r="Y45" t="s">
        <v>43</v>
      </c>
      <c r="Z45" t="str">
        <f t="shared" si="16"/>
        <v xml:space="preserve"> Exploring / pilots </v>
      </c>
      <c r="AA45" t="str">
        <f t="shared" si="17"/>
        <v xml:space="preserve"> 35.0% </v>
      </c>
      <c r="AB45" t="s">
        <v>551</v>
      </c>
      <c r="AC45" t="str">
        <f t="shared" si="18"/>
        <v xml:space="preserve"> Exploring / pilots </v>
      </c>
      <c r="AD45" t="str">
        <f t="shared" si="19"/>
        <v xml:space="preserve"> 32.0% </v>
      </c>
      <c r="AF45" t="s">
        <v>854</v>
      </c>
      <c r="AG45" t="str">
        <f t="shared" si="20"/>
        <v xml:space="preserve"> Exploring / pilots </v>
      </c>
      <c r="AH45" t="str">
        <f t="shared" si="21"/>
        <v xml:space="preserve"> 26.0% </v>
      </c>
      <c r="AI45" t="s">
        <v>55</v>
      </c>
      <c r="AK45" t="str">
        <f t="shared" si="22"/>
        <v xml:space="preserve"> Exploring / pilots </v>
      </c>
      <c r="AL45" t="str">
        <f t="shared" si="23"/>
        <v xml:space="preserve"> 40.0% </v>
      </c>
      <c r="AM45" t="s">
        <v>55</v>
      </c>
      <c r="AN45" t="s">
        <v>0</v>
      </c>
      <c r="AO45" t="str">
        <f t="shared" si="24"/>
        <v xml:space="preserve"> 40.0% </v>
      </c>
      <c r="AP45" t="s">
        <v>224</v>
      </c>
      <c r="AQ45" t="str">
        <f t="shared" si="25"/>
        <v xml:space="preserve"> Exploring / pilots </v>
      </c>
      <c r="AR45" t="str">
        <f t="shared" si="26"/>
        <v xml:space="preserve"> 34.0% </v>
      </c>
      <c r="AS45" t="s">
        <v>214</v>
      </c>
      <c r="AT45" t="str">
        <f t="shared" si="27"/>
        <v xml:space="preserve"> Exploring / pilots </v>
      </c>
      <c r="AU45" t="str">
        <f t="shared" si="28"/>
        <v xml:space="preserve"> 30.0% </v>
      </c>
      <c r="AV45" t="s">
        <v>1120</v>
      </c>
      <c r="AW45" t="str">
        <f t="shared" si="29"/>
        <v>Exploring / pilots</v>
      </c>
      <c r="AX45" t="str">
        <f t="shared" si="30"/>
        <v xml:space="preserve"> 30.0% </v>
      </c>
    </row>
    <row r="46" spans="1:50" x14ac:dyDescent="0.45">
      <c r="A46" t="s">
        <v>44</v>
      </c>
      <c r="B46" t="str">
        <f t="shared" si="0"/>
        <v xml:space="preserve"> In limited production use </v>
      </c>
      <c r="C46" t="str">
        <f t="shared" si="1"/>
        <v xml:space="preserve"> 30.0% </v>
      </c>
      <c r="D46" t="s">
        <v>215</v>
      </c>
      <c r="E46" t="str">
        <f t="shared" si="2"/>
        <v xml:space="preserve"> In limited production use </v>
      </c>
      <c r="F46" t="str">
        <f t="shared" si="3"/>
        <v xml:space="preserve"> 32.0% </v>
      </c>
      <c r="G46" t="s">
        <v>44</v>
      </c>
      <c r="H46" t="str">
        <f t="shared" si="4"/>
        <v xml:space="preserve"> In limited production use </v>
      </c>
      <c r="I46" t="str">
        <f t="shared" si="5"/>
        <v xml:space="preserve"> 30.0% </v>
      </c>
      <c r="J46" t="s">
        <v>354</v>
      </c>
      <c r="K46" t="str">
        <f t="shared" si="6"/>
        <v xml:space="preserve"> In limited production use </v>
      </c>
      <c r="L46" t="str">
        <f t="shared" si="7"/>
        <v xml:space="preserve"> 35.0% </v>
      </c>
      <c r="M46" t="s">
        <v>435</v>
      </c>
      <c r="N46" t="str">
        <f t="shared" si="8"/>
        <v xml:space="preserve"> In limited production use </v>
      </c>
      <c r="O46" t="str">
        <f t="shared" si="9"/>
        <v xml:space="preserve"> 31.0% </v>
      </c>
      <c r="P46" t="s">
        <v>44</v>
      </c>
      <c r="Q46" t="str">
        <f t="shared" si="10"/>
        <v xml:space="preserve"> In limited production use </v>
      </c>
      <c r="R46" t="str">
        <f t="shared" si="11"/>
        <v xml:space="preserve"> 30.0% </v>
      </c>
      <c r="S46" t="s">
        <v>438</v>
      </c>
      <c r="T46" t="str">
        <f t="shared" si="12"/>
        <v xml:space="preserve"> In limited production use </v>
      </c>
      <c r="U46" t="str">
        <f t="shared" si="13"/>
        <v xml:space="preserve"> 34.0% </v>
      </c>
      <c r="V46" t="s">
        <v>354</v>
      </c>
      <c r="W46" t="str">
        <f t="shared" si="14"/>
        <v xml:space="preserve"> In limited production use </v>
      </c>
      <c r="X46" t="str">
        <f t="shared" si="15"/>
        <v xml:space="preserve"> 35.0% </v>
      </c>
      <c r="Y46" t="s">
        <v>44</v>
      </c>
      <c r="Z46" t="str">
        <f t="shared" si="16"/>
        <v xml:space="preserve"> In limited production use </v>
      </c>
      <c r="AA46" t="str">
        <f t="shared" si="17"/>
        <v xml:space="preserve"> 30.0% </v>
      </c>
      <c r="AB46" t="s">
        <v>44</v>
      </c>
      <c r="AC46" t="str">
        <f t="shared" si="18"/>
        <v xml:space="preserve"> In limited production use </v>
      </c>
      <c r="AD46" t="str">
        <f t="shared" si="19"/>
        <v xml:space="preserve"> 30.0% </v>
      </c>
      <c r="AF46" t="s">
        <v>855</v>
      </c>
      <c r="AG46" t="str">
        <f t="shared" si="20"/>
        <v xml:space="preserve"> In limited production use </v>
      </c>
      <c r="AH46" t="str">
        <f t="shared" si="21"/>
        <v xml:space="preserve"> 36.0% </v>
      </c>
      <c r="AI46" t="s">
        <v>856</v>
      </c>
      <c r="AK46" t="str">
        <f t="shared" si="22"/>
        <v xml:space="preserve"> In limited production use </v>
      </c>
      <c r="AL46" t="str">
        <f t="shared" si="23"/>
        <v xml:space="preserve"> 28.0% </v>
      </c>
      <c r="AM46" t="s">
        <v>442</v>
      </c>
      <c r="AN46" t="s">
        <v>0</v>
      </c>
      <c r="AO46" t="str">
        <f t="shared" si="24"/>
        <v xml:space="preserve"> 25.0% </v>
      </c>
      <c r="AP46" t="s">
        <v>44</v>
      </c>
      <c r="AQ46" t="str">
        <f t="shared" si="25"/>
        <v xml:space="preserve"> In limited production use </v>
      </c>
      <c r="AR46" t="str">
        <f t="shared" si="26"/>
        <v xml:space="preserve"> 30.0% </v>
      </c>
      <c r="AS46" t="s">
        <v>354</v>
      </c>
      <c r="AT46" t="str">
        <f t="shared" si="27"/>
        <v xml:space="preserve"> In limited production use </v>
      </c>
      <c r="AU46" t="str">
        <f t="shared" si="28"/>
        <v xml:space="preserve"> 35.0% </v>
      </c>
      <c r="AV46" t="s">
        <v>1121</v>
      </c>
      <c r="AW46" t="str">
        <f t="shared" si="29"/>
        <v>In limited production use</v>
      </c>
      <c r="AX46" t="str">
        <f t="shared" si="30"/>
        <v xml:space="preserve"> 35.0% </v>
      </c>
    </row>
    <row r="47" spans="1:50" x14ac:dyDescent="0.45">
      <c r="A47" t="s">
        <v>45</v>
      </c>
      <c r="B47" t="str">
        <f t="shared" si="0"/>
        <v xml:space="preserve"> Widely used in BA operations </v>
      </c>
      <c r="C47" t="str">
        <f t="shared" si="1"/>
        <v xml:space="preserve"> 12.0% </v>
      </c>
      <c r="D47" t="s">
        <v>51</v>
      </c>
      <c r="E47" t="str">
        <f t="shared" si="2"/>
        <v xml:space="preserve"> Widely used in BA operations </v>
      </c>
      <c r="F47" t="str">
        <f t="shared" si="3"/>
        <v xml:space="preserve"> 20.0% </v>
      </c>
      <c r="G47" t="s">
        <v>358</v>
      </c>
      <c r="H47" t="str">
        <f t="shared" si="4"/>
        <v xml:space="preserve"> Widely used in BA operations </v>
      </c>
      <c r="I47" t="str">
        <f t="shared" si="5"/>
        <v xml:space="preserve"> 15.0% </v>
      </c>
      <c r="J47" t="s">
        <v>51</v>
      </c>
      <c r="K47" t="str">
        <f t="shared" si="6"/>
        <v xml:space="preserve"> Widely used in BA operations </v>
      </c>
      <c r="L47" t="str">
        <f t="shared" si="7"/>
        <v xml:space="preserve"> 20.0% </v>
      </c>
      <c r="M47" t="s">
        <v>358</v>
      </c>
      <c r="N47" t="str">
        <f t="shared" si="8"/>
        <v xml:space="preserve"> Widely used in BA operations </v>
      </c>
      <c r="O47" t="str">
        <f t="shared" si="9"/>
        <v xml:space="preserve"> 15.0% </v>
      </c>
      <c r="P47" t="s">
        <v>618</v>
      </c>
      <c r="Q47" t="str">
        <f t="shared" si="10"/>
        <v xml:space="preserve"> Widely used in BA operations </v>
      </c>
      <c r="R47" t="str">
        <f t="shared" si="11"/>
        <v xml:space="preserve"> 17.0% </v>
      </c>
      <c r="S47" t="s">
        <v>684</v>
      </c>
      <c r="T47" t="str">
        <f t="shared" si="12"/>
        <v xml:space="preserve"> Widely used in BA operations </v>
      </c>
      <c r="U47" t="str">
        <f t="shared" si="13"/>
        <v xml:space="preserve"> 18.0% </v>
      </c>
      <c r="V47" t="s">
        <v>358</v>
      </c>
      <c r="W47" t="str">
        <f t="shared" si="14"/>
        <v xml:space="preserve"> Widely used in BA operations </v>
      </c>
      <c r="X47" t="str">
        <f t="shared" si="15"/>
        <v xml:space="preserve"> 15.0% </v>
      </c>
      <c r="Y47" t="s">
        <v>57</v>
      </c>
      <c r="Z47" t="str">
        <f t="shared" si="16"/>
        <v xml:space="preserve"> Widely used in BA operations </v>
      </c>
      <c r="AA47" t="str">
        <f t="shared" si="17"/>
        <v xml:space="preserve"> 10.0% </v>
      </c>
      <c r="AB47" t="s">
        <v>358</v>
      </c>
      <c r="AC47" t="str">
        <f t="shared" si="18"/>
        <v xml:space="preserve"> Widely used in BA operations </v>
      </c>
      <c r="AD47" t="str">
        <f t="shared" si="19"/>
        <v xml:space="preserve"> 15.0% </v>
      </c>
      <c r="AF47" t="s">
        <v>51</v>
      </c>
      <c r="AG47" t="str">
        <f t="shared" si="20"/>
        <v xml:space="preserve"> Widely used in BA operations </v>
      </c>
      <c r="AH47" t="str">
        <f t="shared" si="21"/>
        <v xml:space="preserve"> 20.0% </v>
      </c>
      <c r="AI47" t="s">
        <v>45</v>
      </c>
      <c r="AK47" t="str">
        <f t="shared" si="22"/>
        <v xml:space="preserve"> Widely used in BA operations </v>
      </c>
      <c r="AL47" t="str">
        <f t="shared" si="23"/>
        <v xml:space="preserve"> 12.0% </v>
      </c>
      <c r="AM47" t="s">
        <v>57</v>
      </c>
      <c r="AN47" t="s">
        <v>0</v>
      </c>
      <c r="AO47" t="str">
        <f t="shared" si="24"/>
        <v xml:space="preserve"> 10.0% </v>
      </c>
      <c r="AP47" t="s">
        <v>358</v>
      </c>
      <c r="AQ47" t="str">
        <f t="shared" si="25"/>
        <v xml:space="preserve"> Widely used in BA operations </v>
      </c>
      <c r="AR47" t="str">
        <f t="shared" si="26"/>
        <v xml:space="preserve"> 15.0% </v>
      </c>
      <c r="AS47" t="s">
        <v>684</v>
      </c>
      <c r="AT47" t="str">
        <f t="shared" si="27"/>
        <v xml:space="preserve"> Widely used in BA operations </v>
      </c>
      <c r="AU47" t="str">
        <f t="shared" si="28"/>
        <v xml:space="preserve"> 18.0% </v>
      </c>
      <c r="AV47" t="s">
        <v>1122</v>
      </c>
      <c r="AW47" t="str">
        <f t="shared" si="29"/>
        <v>Widely used in BA operations</v>
      </c>
      <c r="AX47" t="str">
        <f t="shared" si="30"/>
        <v xml:space="preserve"> 15.0% </v>
      </c>
    </row>
    <row r="48" spans="1:50" x14ac:dyDescent="0.45">
      <c r="A48" t="s">
        <v>46</v>
      </c>
      <c r="B48" t="str">
        <f t="shared" si="0"/>
        <v xml:space="preserve"> AI-driven BA is a strategic priority </v>
      </c>
      <c r="C48" t="str">
        <f t="shared" si="1"/>
        <v xml:space="preserve"> 8.0% </v>
      </c>
      <c r="D48" t="s">
        <v>46</v>
      </c>
      <c r="E48" t="str">
        <f t="shared" si="2"/>
        <v xml:space="preserve"> AI-driven BA is a strategic priority </v>
      </c>
      <c r="F48" t="str">
        <f t="shared" si="3"/>
        <v xml:space="preserve"> 8.0% </v>
      </c>
      <c r="G48" t="s">
        <v>46</v>
      </c>
      <c r="H48" t="str">
        <f t="shared" si="4"/>
        <v xml:space="preserve"> AI-driven BA is a strategic priority </v>
      </c>
      <c r="I48" t="str">
        <f t="shared" si="5"/>
        <v xml:space="preserve"> 8.0% </v>
      </c>
      <c r="J48" t="s">
        <v>355</v>
      </c>
      <c r="K48" t="str">
        <f t="shared" si="6"/>
        <v xml:space="preserve"> AI-driven BA is a strategic priority </v>
      </c>
      <c r="L48" t="str">
        <f t="shared" si="7"/>
        <v xml:space="preserve"> 10.0% </v>
      </c>
      <c r="M48" t="s">
        <v>436</v>
      </c>
      <c r="N48" t="str">
        <f t="shared" si="8"/>
        <v xml:space="preserve"> AI-driven BA is a strategic priority </v>
      </c>
      <c r="O48" t="str">
        <f t="shared" si="9"/>
        <v xml:space="preserve"> 6.0% </v>
      </c>
      <c r="P48" t="s">
        <v>46</v>
      </c>
      <c r="Q48" t="str">
        <f t="shared" si="10"/>
        <v xml:space="preserve"> AI-driven BA is a strategic priority </v>
      </c>
      <c r="R48" t="str">
        <f t="shared" si="11"/>
        <v xml:space="preserve"> 8.0% </v>
      </c>
      <c r="S48" t="s">
        <v>46</v>
      </c>
      <c r="T48" t="str">
        <f t="shared" si="12"/>
        <v xml:space="preserve"> AI-driven BA is a strategic priority </v>
      </c>
      <c r="U48" t="str">
        <f t="shared" si="13"/>
        <v xml:space="preserve"> 8.0% </v>
      </c>
      <c r="V48" t="s">
        <v>355</v>
      </c>
      <c r="W48" t="str">
        <f t="shared" si="14"/>
        <v xml:space="preserve"> AI-driven BA is a strategic priority </v>
      </c>
      <c r="X48" t="str">
        <f t="shared" si="15"/>
        <v xml:space="preserve"> 10.0% </v>
      </c>
      <c r="Y48" t="s">
        <v>58</v>
      </c>
      <c r="Z48" t="str">
        <f t="shared" si="16"/>
        <v xml:space="preserve"> AI-driven BA is a strategic priority </v>
      </c>
      <c r="AA48" t="str">
        <f t="shared" si="17"/>
        <v xml:space="preserve"> 5.0% </v>
      </c>
      <c r="AB48" t="s">
        <v>58</v>
      </c>
      <c r="AC48" t="str">
        <f t="shared" si="18"/>
        <v xml:space="preserve"> AI-driven BA is a strategic priority </v>
      </c>
      <c r="AD48" t="str">
        <f t="shared" si="19"/>
        <v xml:space="preserve"> 5.0% </v>
      </c>
      <c r="AF48" t="s">
        <v>46</v>
      </c>
      <c r="AG48" t="str">
        <f t="shared" si="20"/>
        <v xml:space="preserve"> AI-driven BA is a strategic priority </v>
      </c>
      <c r="AH48" t="str">
        <f t="shared" si="21"/>
        <v xml:space="preserve"> 8.0% </v>
      </c>
      <c r="AI48" t="s">
        <v>58</v>
      </c>
      <c r="AK48" t="str">
        <f t="shared" si="22"/>
        <v xml:space="preserve"> AI-driven BA is a strategic priority </v>
      </c>
      <c r="AL48" t="str">
        <f t="shared" si="23"/>
        <v xml:space="preserve"> 5.0% </v>
      </c>
      <c r="AM48" t="s">
        <v>58</v>
      </c>
      <c r="AN48" t="s">
        <v>0</v>
      </c>
      <c r="AO48" t="str">
        <f t="shared" si="24"/>
        <v xml:space="preserve"> 5.0% </v>
      </c>
      <c r="AP48" t="s">
        <v>58</v>
      </c>
      <c r="AQ48" t="str">
        <f t="shared" si="25"/>
        <v xml:space="preserve"> AI-driven BA is a strategic priority </v>
      </c>
      <c r="AR48" t="str">
        <f t="shared" si="26"/>
        <v xml:space="preserve"> 5.0% </v>
      </c>
      <c r="AS48" t="s">
        <v>227</v>
      </c>
      <c r="AT48" t="str">
        <f t="shared" si="27"/>
        <v xml:space="preserve"> AI-driven BA is a strategic priority </v>
      </c>
      <c r="AU48" t="str">
        <f t="shared" si="28"/>
        <v xml:space="preserve"> 7.0% </v>
      </c>
      <c r="AV48" t="s">
        <v>1123</v>
      </c>
      <c r="AW48" t="str">
        <f t="shared" si="29"/>
        <v>AI-driven BA is a strategic priority</v>
      </c>
      <c r="AX48" t="str">
        <f t="shared" si="30"/>
        <v xml:space="preserve"> 5.0% </v>
      </c>
    </row>
    <row r="49" spans="1:50" x14ac:dyDescent="0.45">
      <c r="A49" t="s">
        <v>47</v>
      </c>
      <c r="B49" t="str">
        <f t="shared" si="0"/>
        <v/>
      </c>
      <c r="C49" t="str">
        <f t="shared" si="1"/>
        <v/>
      </c>
      <c r="D49" t="s">
        <v>216</v>
      </c>
      <c r="E49" t="str">
        <f t="shared" si="2"/>
        <v/>
      </c>
      <c r="F49" t="str">
        <f t="shared" si="3"/>
        <v/>
      </c>
      <c r="G49" t="s">
        <v>47</v>
      </c>
      <c r="H49" t="str">
        <f t="shared" si="4"/>
        <v/>
      </c>
      <c r="I49" t="str">
        <f t="shared" si="5"/>
        <v/>
      </c>
      <c r="J49" t="s">
        <v>47</v>
      </c>
      <c r="K49" t="str">
        <f t="shared" si="6"/>
        <v/>
      </c>
      <c r="L49" t="str">
        <f t="shared" si="7"/>
        <v/>
      </c>
      <c r="M49" t="s">
        <v>47</v>
      </c>
      <c r="N49" t="str">
        <f t="shared" si="8"/>
        <v/>
      </c>
      <c r="O49" t="str">
        <f t="shared" si="9"/>
        <v/>
      </c>
      <c r="P49" t="s">
        <v>47</v>
      </c>
      <c r="Q49" t="str">
        <f t="shared" si="10"/>
        <v/>
      </c>
      <c r="R49" t="str">
        <f t="shared" si="11"/>
        <v/>
      </c>
      <c r="S49" t="s">
        <v>47</v>
      </c>
      <c r="T49" t="str">
        <f t="shared" si="12"/>
        <v/>
      </c>
      <c r="U49" t="str">
        <f t="shared" si="13"/>
        <v/>
      </c>
      <c r="V49" t="s">
        <v>47</v>
      </c>
      <c r="W49" t="str">
        <f t="shared" si="14"/>
        <v/>
      </c>
      <c r="X49" t="str">
        <f t="shared" si="15"/>
        <v/>
      </c>
      <c r="Y49" t="s">
        <v>47</v>
      </c>
      <c r="Z49" t="str">
        <f t="shared" si="16"/>
        <v/>
      </c>
      <c r="AA49" t="str">
        <f t="shared" si="17"/>
        <v/>
      </c>
      <c r="AB49" t="s">
        <v>47</v>
      </c>
      <c r="AC49" t="str">
        <f t="shared" si="18"/>
        <v/>
      </c>
      <c r="AD49" t="str">
        <f t="shared" si="19"/>
        <v/>
      </c>
      <c r="AF49" t="s">
        <v>47</v>
      </c>
      <c r="AG49" t="str">
        <f t="shared" si="20"/>
        <v/>
      </c>
      <c r="AH49" t="str">
        <f t="shared" si="21"/>
        <v/>
      </c>
      <c r="AI49" t="s">
        <v>47</v>
      </c>
      <c r="AK49" t="str">
        <f t="shared" si="22"/>
        <v/>
      </c>
      <c r="AL49" t="str">
        <f t="shared" si="23"/>
        <v/>
      </c>
      <c r="AM49" t="s">
        <v>47</v>
      </c>
      <c r="AN49" t="s">
        <v>0</v>
      </c>
      <c r="AO49" t="str">
        <f t="shared" si="24"/>
        <v/>
      </c>
      <c r="AP49" t="s">
        <v>47</v>
      </c>
      <c r="AQ49" t="str">
        <f t="shared" si="25"/>
        <v/>
      </c>
      <c r="AR49" t="str">
        <f t="shared" si="26"/>
        <v/>
      </c>
      <c r="AS49" t="s">
        <v>47</v>
      </c>
      <c r="AT49" t="str">
        <f t="shared" si="27"/>
        <v/>
      </c>
      <c r="AU49" t="str">
        <f t="shared" si="28"/>
        <v/>
      </c>
      <c r="AV49" t="s">
        <v>1124</v>
      </c>
      <c r="AW49" t="str">
        <f t="shared" si="29"/>
        <v/>
      </c>
      <c r="AX49" t="str">
        <f t="shared" si="30"/>
        <v/>
      </c>
    </row>
    <row r="50" spans="1:50" x14ac:dyDescent="0.45">
      <c r="A50" t="s">
        <v>48</v>
      </c>
      <c r="B50" t="str">
        <f t="shared" si="0"/>
        <v xml:space="preserve"> Not using AI today </v>
      </c>
      <c r="C50" t="str">
        <f t="shared" si="1"/>
        <v xml:space="preserve"> 5.0% </v>
      </c>
      <c r="D50" t="s">
        <v>217</v>
      </c>
      <c r="E50" t="str">
        <f t="shared" si="2"/>
        <v xml:space="preserve"> Not using AI today </v>
      </c>
      <c r="F50" t="str">
        <f t="shared" si="3"/>
        <v xml:space="preserve"> 6.0% </v>
      </c>
      <c r="G50" t="s">
        <v>552</v>
      </c>
      <c r="H50" t="str">
        <f t="shared" si="4"/>
        <v xml:space="preserve"> Not using AI today </v>
      </c>
      <c r="I50" t="str">
        <f t="shared" si="5"/>
        <v xml:space="preserve"> 8.0% </v>
      </c>
      <c r="J50" t="s">
        <v>48</v>
      </c>
      <c r="K50" t="str">
        <f t="shared" si="6"/>
        <v xml:space="preserve"> Not using AI today </v>
      </c>
      <c r="L50" t="str">
        <f t="shared" si="7"/>
        <v xml:space="preserve"> 5.0% </v>
      </c>
      <c r="M50" t="s">
        <v>213</v>
      </c>
      <c r="N50" t="str">
        <f t="shared" si="8"/>
        <v xml:space="preserve"> Not using AI today </v>
      </c>
      <c r="O50" t="str">
        <f t="shared" si="9"/>
        <v xml:space="preserve"> 10.0% </v>
      </c>
      <c r="P50" t="s">
        <v>213</v>
      </c>
      <c r="Q50" t="str">
        <f t="shared" si="10"/>
        <v xml:space="preserve"> Not using AI today </v>
      </c>
      <c r="R50" t="str">
        <f t="shared" si="11"/>
        <v xml:space="preserve"> 10.0% </v>
      </c>
      <c r="S50" t="s">
        <v>552</v>
      </c>
      <c r="T50" t="str">
        <f t="shared" si="12"/>
        <v xml:space="preserve"> Not using AI today </v>
      </c>
      <c r="U50" t="str">
        <f t="shared" si="13"/>
        <v xml:space="preserve"> 8.0% </v>
      </c>
      <c r="V50" t="s">
        <v>48</v>
      </c>
      <c r="W50" t="str">
        <f t="shared" si="14"/>
        <v xml:space="preserve"> Not using AI today </v>
      </c>
      <c r="X50" t="str">
        <f t="shared" si="15"/>
        <v xml:space="preserve"> 5.0% </v>
      </c>
      <c r="Y50" t="s">
        <v>213</v>
      </c>
      <c r="Z50" t="str">
        <f t="shared" si="16"/>
        <v xml:space="preserve"> Not using AI today </v>
      </c>
      <c r="AA50" t="str">
        <f t="shared" si="17"/>
        <v xml:space="preserve"> 10.0% </v>
      </c>
      <c r="AB50" t="s">
        <v>213</v>
      </c>
      <c r="AC50" t="str">
        <f t="shared" si="18"/>
        <v xml:space="preserve"> Not using AI today </v>
      </c>
      <c r="AD50" t="str">
        <f t="shared" si="19"/>
        <v xml:space="preserve"> 10.0% </v>
      </c>
      <c r="AF50" t="s">
        <v>217</v>
      </c>
      <c r="AG50" t="str">
        <f t="shared" si="20"/>
        <v xml:space="preserve"> Not using AI today </v>
      </c>
      <c r="AH50" t="str">
        <f t="shared" si="21"/>
        <v xml:space="preserve"> 6.0% </v>
      </c>
      <c r="AI50" t="s">
        <v>552</v>
      </c>
      <c r="AK50" t="str">
        <f t="shared" si="22"/>
        <v xml:space="preserve"> Not using AI today </v>
      </c>
      <c r="AL50" t="str">
        <f t="shared" si="23"/>
        <v xml:space="preserve"> 8.0% </v>
      </c>
      <c r="AM50" t="s">
        <v>213</v>
      </c>
      <c r="AN50" t="s">
        <v>0</v>
      </c>
      <c r="AO50" t="str">
        <f t="shared" si="24"/>
        <v xml:space="preserve"> 10.0% </v>
      </c>
      <c r="AP50" t="s">
        <v>213</v>
      </c>
      <c r="AQ50" t="str">
        <f t="shared" si="25"/>
        <v xml:space="preserve"> Not using AI today </v>
      </c>
      <c r="AR50" t="str">
        <f t="shared" si="26"/>
        <v xml:space="preserve"> 10.0% </v>
      </c>
      <c r="AS50" t="s">
        <v>217</v>
      </c>
      <c r="AT50" t="str">
        <f t="shared" si="27"/>
        <v xml:space="preserve"> Not using AI today </v>
      </c>
      <c r="AU50" t="str">
        <f t="shared" si="28"/>
        <v xml:space="preserve"> 6.0% </v>
      </c>
      <c r="AV50" t="s">
        <v>1125</v>
      </c>
      <c r="AW50" t="str">
        <f t="shared" si="29"/>
        <v>Not using AI today</v>
      </c>
      <c r="AX50" t="str">
        <f t="shared" si="30"/>
        <v xml:space="preserve"> 12.0% </v>
      </c>
    </row>
    <row r="51" spans="1:50" x14ac:dyDescent="0.45">
      <c r="A51" t="s">
        <v>49</v>
      </c>
      <c r="B51" t="str">
        <f t="shared" si="0"/>
        <v xml:space="preserve"> Exploring / pilots </v>
      </c>
      <c r="C51" t="str">
        <f t="shared" si="1"/>
        <v xml:space="preserve"> 20.0% </v>
      </c>
      <c r="D51" t="s">
        <v>218</v>
      </c>
      <c r="E51" t="str">
        <f t="shared" si="2"/>
        <v xml:space="preserve"> Exploring / pilots </v>
      </c>
      <c r="F51" t="str">
        <f t="shared" si="3"/>
        <v xml:space="preserve"> 22.0% </v>
      </c>
      <c r="G51" t="s">
        <v>218</v>
      </c>
      <c r="H51" t="str">
        <f t="shared" si="4"/>
        <v xml:space="preserve"> Exploring / pilots </v>
      </c>
      <c r="I51" t="str">
        <f t="shared" si="5"/>
        <v xml:space="preserve"> 22.0% </v>
      </c>
      <c r="J51" t="s">
        <v>49</v>
      </c>
      <c r="K51" t="str">
        <f t="shared" si="6"/>
        <v xml:space="preserve"> Exploring / pilots </v>
      </c>
      <c r="L51" t="str">
        <f t="shared" si="7"/>
        <v xml:space="preserve"> 20.0% </v>
      </c>
      <c r="M51" t="s">
        <v>437</v>
      </c>
      <c r="N51" t="str">
        <f t="shared" si="8"/>
        <v xml:space="preserve"> Exploring / pilots </v>
      </c>
      <c r="O51" t="str">
        <f t="shared" si="9"/>
        <v xml:space="preserve"> 24.0% </v>
      </c>
      <c r="P51" t="s">
        <v>353</v>
      </c>
      <c r="Q51" t="str">
        <f t="shared" si="10"/>
        <v xml:space="preserve"> Exploring / pilots </v>
      </c>
      <c r="R51" t="str">
        <f t="shared" si="11"/>
        <v xml:space="preserve"> 25.0% </v>
      </c>
      <c r="S51" t="s">
        <v>437</v>
      </c>
      <c r="T51" t="str">
        <f t="shared" si="12"/>
        <v xml:space="preserve"> Exploring / pilots </v>
      </c>
      <c r="U51" t="str">
        <f t="shared" si="13"/>
        <v xml:space="preserve"> 24.0% </v>
      </c>
      <c r="V51" t="s">
        <v>729</v>
      </c>
      <c r="W51" t="str">
        <f t="shared" si="14"/>
        <v xml:space="preserve"> Exploring / pilots </v>
      </c>
      <c r="X51" t="str">
        <f t="shared" si="15"/>
        <v xml:space="preserve"> 15.0% </v>
      </c>
      <c r="Y51" t="s">
        <v>353</v>
      </c>
      <c r="Z51" t="str">
        <f t="shared" si="16"/>
        <v xml:space="preserve"> Exploring / pilots </v>
      </c>
      <c r="AA51" t="str">
        <f t="shared" si="17"/>
        <v xml:space="preserve"> 25.0% </v>
      </c>
      <c r="AB51" t="s">
        <v>353</v>
      </c>
      <c r="AC51" t="str">
        <f t="shared" si="18"/>
        <v xml:space="preserve"> Exploring / pilots </v>
      </c>
      <c r="AD51" t="str">
        <f t="shared" si="19"/>
        <v xml:space="preserve"> 25.0% </v>
      </c>
      <c r="AF51" t="s">
        <v>218</v>
      </c>
      <c r="AG51" t="str">
        <f t="shared" si="20"/>
        <v xml:space="preserve"> Exploring / pilots </v>
      </c>
      <c r="AH51" t="str">
        <f t="shared" si="21"/>
        <v xml:space="preserve"> 22.0% </v>
      </c>
      <c r="AI51" t="s">
        <v>551</v>
      </c>
      <c r="AK51" t="str">
        <f t="shared" si="22"/>
        <v xml:space="preserve"> Exploring / pilots </v>
      </c>
      <c r="AL51" t="str">
        <f t="shared" si="23"/>
        <v xml:space="preserve"> 32.0% </v>
      </c>
      <c r="AM51" t="s">
        <v>214</v>
      </c>
      <c r="AN51" t="s">
        <v>0</v>
      </c>
      <c r="AO51" t="str">
        <f t="shared" si="24"/>
        <v xml:space="preserve"> 30.0% </v>
      </c>
      <c r="AP51" t="s">
        <v>683</v>
      </c>
      <c r="AQ51" t="str">
        <f t="shared" si="25"/>
        <v xml:space="preserve"> Exploring / pilots </v>
      </c>
      <c r="AR51" t="str">
        <f t="shared" si="26"/>
        <v xml:space="preserve"> 28.0% </v>
      </c>
      <c r="AS51" t="s">
        <v>218</v>
      </c>
      <c r="AT51" t="str">
        <f t="shared" si="27"/>
        <v xml:space="preserve"> Exploring / pilots </v>
      </c>
      <c r="AU51" t="str">
        <f t="shared" si="28"/>
        <v xml:space="preserve"> 22.0% </v>
      </c>
      <c r="AV51" t="s">
        <v>1126</v>
      </c>
      <c r="AW51" t="str">
        <f t="shared" si="29"/>
        <v>Exploring / pilots</v>
      </c>
      <c r="AX51" t="str">
        <f t="shared" si="30"/>
        <v xml:space="preserve"> 28.0% </v>
      </c>
    </row>
    <row r="52" spans="1:50" x14ac:dyDescent="0.45">
      <c r="A52" t="s">
        <v>50</v>
      </c>
      <c r="B52" t="str">
        <f t="shared" si="0"/>
        <v xml:space="preserve"> In limited production use </v>
      </c>
      <c r="C52" t="str">
        <f t="shared" si="1"/>
        <v xml:space="preserve"> 40.0% </v>
      </c>
      <c r="D52" t="s">
        <v>219</v>
      </c>
      <c r="E52" t="str">
        <f t="shared" si="2"/>
        <v xml:space="preserve"> In limited production use </v>
      </c>
      <c r="F52" t="str">
        <f t="shared" si="3"/>
        <v xml:space="preserve"> 33.0% </v>
      </c>
      <c r="G52" t="s">
        <v>219</v>
      </c>
      <c r="H52" t="str">
        <f t="shared" si="4"/>
        <v xml:space="preserve"> In limited production use </v>
      </c>
      <c r="I52" t="str">
        <f t="shared" si="5"/>
        <v xml:space="preserve"> 33.0% </v>
      </c>
      <c r="J52" t="s">
        <v>44</v>
      </c>
      <c r="K52" t="str">
        <f t="shared" si="6"/>
        <v xml:space="preserve"> In limited production use </v>
      </c>
      <c r="L52" t="str">
        <f t="shared" si="7"/>
        <v xml:space="preserve"> 30.0% </v>
      </c>
      <c r="M52" t="s">
        <v>438</v>
      </c>
      <c r="N52" t="str">
        <f t="shared" si="8"/>
        <v xml:space="preserve"> In limited production use </v>
      </c>
      <c r="O52" t="str">
        <f t="shared" si="9"/>
        <v xml:space="preserve"> 34.0% </v>
      </c>
      <c r="P52" t="s">
        <v>44</v>
      </c>
      <c r="Q52" t="str">
        <f t="shared" si="10"/>
        <v xml:space="preserve"> In limited production use </v>
      </c>
      <c r="R52" t="str">
        <f t="shared" si="11"/>
        <v xml:space="preserve"> 30.0% </v>
      </c>
      <c r="S52" t="s">
        <v>219</v>
      </c>
      <c r="T52" t="str">
        <f t="shared" si="12"/>
        <v xml:space="preserve"> In limited production use </v>
      </c>
      <c r="U52" t="str">
        <f t="shared" si="13"/>
        <v xml:space="preserve"> 33.0% </v>
      </c>
      <c r="V52" t="s">
        <v>44</v>
      </c>
      <c r="W52" t="str">
        <f t="shared" si="14"/>
        <v xml:space="preserve"> In limited production use </v>
      </c>
      <c r="X52" t="str">
        <f t="shared" si="15"/>
        <v xml:space="preserve"> 30.0% </v>
      </c>
      <c r="Y52" t="s">
        <v>354</v>
      </c>
      <c r="Z52" t="str">
        <f t="shared" si="16"/>
        <v xml:space="preserve"> In limited production use </v>
      </c>
      <c r="AA52" t="str">
        <f t="shared" si="17"/>
        <v xml:space="preserve"> 35.0% </v>
      </c>
      <c r="AB52" t="s">
        <v>44</v>
      </c>
      <c r="AC52" t="str">
        <f t="shared" si="18"/>
        <v xml:space="preserve"> In limited production use </v>
      </c>
      <c r="AD52" t="str">
        <f t="shared" si="19"/>
        <v xml:space="preserve"> 30.0% </v>
      </c>
      <c r="AF52" t="s">
        <v>438</v>
      </c>
      <c r="AG52" t="str">
        <f t="shared" si="20"/>
        <v xml:space="preserve"> In limited production use </v>
      </c>
      <c r="AH52" t="str">
        <f t="shared" si="21"/>
        <v xml:space="preserve"> 34.0% </v>
      </c>
      <c r="AI52" t="s">
        <v>354</v>
      </c>
      <c r="AK52" t="str">
        <f t="shared" si="22"/>
        <v xml:space="preserve"> In limited production use </v>
      </c>
      <c r="AL52" t="str">
        <f t="shared" si="23"/>
        <v xml:space="preserve"> 35.0% </v>
      </c>
      <c r="AM52" t="s">
        <v>354</v>
      </c>
      <c r="AN52" t="s">
        <v>0</v>
      </c>
      <c r="AO52" t="str">
        <f t="shared" si="24"/>
        <v xml:space="preserve"> 35.0% </v>
      </c>
      <c r="AP52" t="s">
        <v>215</v>
      </c>
      <c r="AQ52" t="str">
        <f t="shared" si="25"/>
        <v xml:space="preserve"> In limited production use </v>
      </c>
      <c r="AR52" t="str">
        <f t="shared" si="26"/>
        <v xml:space="preserve"> 32.0% </v>
      </c>
      <c r="AS52" t="s">
        <v>855</v>
      </c>
      <c r="AT52" t="str">
        <f t="shared" si="27"/>
        <v xml:space="preserve"> In limited production use </v>
      </c>
      <c r="AU52" t="str">
        <f t="shared" si="28"/>
        <v xml:space="preserve"> 36.0% </v>
      </c>
      <c r="AV52" t="s">
        <v>1127</v>
      </c>
      <c r="AW52" t="str">
        <f t="shared" si="29"/>
        <v>In limited production use</v>
      </c>
      <c r="AX52" t="str">
        <f t="shared" si="30"/>
        <v xml:space="preserve"> 34.0% </v>
      </c>
    </row>
    <row r="53" spans="1:50" x14ac:dyDescent="0.45">
      <c r="A53" t="s">
        <v>51</v>
      </c>
      <c r="B53" t="str">
        <f t="shared" si="0"/>
        <v xml:space="preserve"> Widely used in BA operations </v>
      </c>
      <c r="C53" t="str">
        <f t="shared" si="1"/>
        <v xml:space="preserve"> 20.0% </v>
      </c>
      <c r="D53" t="s">
        <v>220</v>
      </c>
      <c r="E53" t="str">
        <f t="shared" si="2"/>
        <v xml:space="preserve"> Widely used in BA operations </v>
      </c>
      <c r="F53" t="str">
        <f t="shared" si="3"/>
        <v xml:space="preserve"> 26.0% </v>
      </c>
      <c r="G53" t="s">
        <v>553</v>
      </c>
      <c r="H53" t="str">
        <f t="shared" si="4"/>
        <v xml:space="preserve"> Widely used in BA operations </v>
      </c>
      <c r="I53" t="str">
        <f t="shared" si="5"/>
        <v xml:space="preserve"> 25.0% </v>
      </c>
      <c r="J53" t="s">
        <v>356</v>
      </c>
      <c r="K53" t="str">
        <f t="shared" si="6"/>
        <v xml:space="preserve"> Widely used in BA operations </v>
      </c>
      <c r="L53" t="str">
        <f t="shared" si="7"/>
        <v xml:space="preserve"> 30.0% </v>
      </c>
      <c r="M53" t="s">
        <v>439</v>
      </c>
      <c r="N53" t="str">
        <f t="shared" si="8"/>
        <v xml:space="preserve"> Widely used in BA operations </v>
      </c>
      <c r="O53" t="str">
        <f t="shared" si="9"/>
        <v xml:space="preserve"> 22.0% </v>
      </c>
      <c r="P53" t="s">
        <v>439</v>
      </c>
      <c r="Q53" t="str">
        <f t="shared" si="10"/>
        <v xml:space="preserve"> Widely used in BA operations </v>
      </c>
      <c r="R53" t="str">
        <f t="shared" si="11"/>
        <v xml:space="preserve"> 22.0% </v>
      </c>
      <c r="S53" t="s">
        <v>685</v>
      </c>
      <c r="T53" t="str">
        <f t="shared" si="12"/>
        <v xml:space="preserve"> Widely used in BA operations </v>
      </c>
      <c r="U53" t="str">
        <f t="shared" si="13"/>
        <v xml:space="preserve"> 23.0% </v>
      </c>
      <c r="V53" t="s">
        <v>356</v>
      </c>
      <c r="W53" t="str">
        <f t="shared" si="14"/>
        <v xml:space="preserve"> Widely used in BA operations </v>
      </c>
      <c r="X53" t="str">
        <f t="shared" si="15"/>
        <v xml:space="preserve"> 30.0% </v>
      </c>
      <c r="Y53" t="s">
        <v>51</v>
      </c>
      <c r="Z53" t="str">
        <f t="shared" si="16"/>
        <v xml:space="preserve"> Widely used in BA operations </v>
      </c>
      <c r="AA53" t="str">
        <f t="shared" si="17"/>
        <v xml:space="preserve"> 20.0% </v>
      </c>
      <c r="AB53" t="s">
        <v>553</v>
      </c>
      <c r="AC53" t="str">
        <f t="shared" si="18"/>
        <v xml:space="preserve"> Widely used in BA operations </v>
      </c>
      <c r="AD53" t="str">
        <f t="shared" si="19"/>
        <v xml:space="preserve"> 25.0% </v>
      </c>
      <c r="AF53" t="s">
        <v>220</v>
      </c>
      <c r="AG53" t="str">
        <f t="shared" si="20"/>
        <v xml:space="preserve"> Widely used in BA operations </v>
      </c>
      <c r="AH53" t="str">
        <f t="shared" si="21"/>
        <v xml:space="preserve"> 26.0% </v>
      </c>
      <c r="AI53" t="s">
        <v>684</v>
      </c>
      <c r="AK53" t="str">
        <f t="shared" si="22"/>
        <v xml:space="preserve"> Widely used in BA operations </v>
      </c>
      <c r="AL53" t="str">
        <f t="shared" si="23"/>
        <v xml:space="preserve"> 18.0% </v>
      </c>
      <c r="AM53" t="s">
        <v>358</v>
      </c>
      <c r="AN53" t="s">
        <v>0</v>
      </c>
      <c r="AO53" t="str">
        <f t="shared" si="24"/>
        <v xml:space="preserve"> 15.0% </v>
      </c>
      <c r="AP53" t="s">
        <v>439</v>
      </c>
      <c r="AQ53" t="str">
        <f t="shared" si="25"/>
        <v xml:space="preserve"> Widely used in BA operations </v>
      </c>
      <c r="AR53" t="str">
        <f t="shared" si="26"/>
        <v xml:space="preserve"> 22.0% </v>
      </c>
      <c r="AS53" t="s">
        <v>220</v>
      </c>
      <c r="AT53" t="str">
        <f t="shared" si="27"/>
        <v xml:space="preserve"> Widely used in BA operations </v>
      </c>
      <c r="AU53" t="str">
        <f t="shared" si="28"/>
        <v xml:space="preserve"> 26.0% </v>
      </c>
      <c r="AV53" t="s">
        <v>1128</v>
      </c>
      <c r="AW53" t="str">
        <f t="shared" si="29"/>
        <v>Widely used in BA operations</v>
      </c>
      <c r="AX53" t="str">
        <f t="shared" si="30"/>
        <v xml:space="preserve"> 16.0% </v>
      </c>
    </row>
    <row r="54" spans="1:50" x14ac:dyDescent="0.45">
      <c r="A54" t="s">
        <v>52</v>
      </c>
      <c r="B54" t="str">
        <f t="shared" si="0"/>
        <v xml:space="preserve"> AI-driven BA is a strategic priority </v>
      </c>
      <c r="C54" t="str">
        <f t="shared" si="1"/>
        <v xml:space="preserve"> 15.0% </v>
      </c>
      <c r="D54" t="s">
        <v>221</v>
      </c>
      <c r="E54" t="str">
        <f t="shared" si="2"/>
        <v xml:space="preserve"> AI-driven BA is a strategic priority </v>
      </c>
      <c r="F54" t="str">
        <f t="shared" si="3"/>
        <v xml:space="preserve"> 13.0% </v>
      </c>
      <c r="G54" t="s">
        <v>554</v>
      </c>
      <c r="H54" t="str">
        <f t="shared" si="4"/>
        <v xml:space="preserve"> AI-driven BA is a strategic priority </v>
      </c>
      <c r="I54" t="str">
        <f t="shared" si="5"/>
        <v xml:space="preserve"> 12.0% </v>
      </c>
      <c r="J54" t="s">
        <v>52</v>
      </c>
      <c r="K54" t="str">
        <f t="shared" si="6"/>
        <v xml:space="preserve"> AI-driven BA is a strategic priority </v>
      </c>
      <c r="L54" t="str">
        <f t="shared" si="7"/>
        <v xml:space="preserve"> 15.0% </v>
      </c>
      <c r="M54" t="s">
        <v>355</v>
      </c>
      <c r="N54" t="str">
        <f t="shared" si="8"/>
        <v xml:space="preserve"> AI-driven BA is a strategic priority </v>
      </c>
      <c r="O54" t="str">
        <f t="shared" si="9"/>
        <v xml:space="preserve"> 10.0% </v>
      </c>
      <c r="P54" t="s">
        <v>221</v>
      </c>
      <c r="Q54" t="str">
        <f t="shared" si="10"/>
        <v xml:space="preserve"> AI-driven BA is a strategic priority </v>
      </c>
      <c r="R54" t="str">
        <f t="shared" si="11"/>
        <v xml:space="preserve"> 13.0% </v>
      </c>
      <c r="S54" t="s">
        <v>554</v>
      </c>
      <c r="T54" t="str">
        <f t="shared" si="12"/>
        <v xml:space="preserve"> AI-driven BA is a strategic priority </v>
      </c>
      <c r="U54" t="str">
        <f t="shared" si="13"/>
        <v xml:space="preserve"> 12.0% </v>
      </c>
      <c r="V54" t="s">
        <v>730</v>
      </c>
      <c r="W54" t="str">
        <f t="shared" si="14"/>
        <v xml:space="preserve"> AI-driven BA is a strategic priority </v>
      </c>
      <c r="X54" t="str">
        <f t="shared" si="15"/>
        <v xml:space="preserve"> 20.0% </v>
      </c>
      <c r="Y54" t="s">
        <v>355</v>
      </c>
      <c r="Z54" t="str">
        <f t="shared" si="16"/>
        <v xml:space="preserve"> AI-driven BA is a strategic priority </v>
      </c>
      <c r="AA54" t="str">
        <f t="shared" si="17"/>
        <v xml:space="preserve"> 10.0% </v>
      </c>
      <c r="AB54" t="s">
        <v>355</v>
      </c>
      <c r="AC54" t="str">
        <f t="shared" si="18"/>
        <v xml:space="preserve"> AI-driven BA is a strategic priority </v>
      </c>
      <c r="AD54" t="str">
        <f t="shared" si="19"/>
        <v xml:space="preserve"> 10.0% </v>
      </c>
      <c r="AF54" t="s">
        <v>554</v>
      </c>
      <c r="AG54" t="str">
        <f t="shared" si="20"/>
        <v xml:space="preserve"> AI-driven BA is a strategic priority </v>
      </c>
      <c r="AH54" t="str">
        <f t="shared" si="21"/>
        <v xml:space="preserve"> 12.0% </v>
      </c>
      <c r="AI54" t="s">
        <v>227</v>
      </c>
      <c r="AK54" t="str">
        <f t="shared" si="22"/>
        <v xml:space="preserve"> AI-driven BA is a strategic priority </v>
      </c>
      <c r="AL54" t="str">
        <f t="shared" si="23"/>
        <v xml:space="preserve"> 7.0% </v>
      </c>
      <c r="AM54" t="s">
        <v>355</v>
      </c>
      <c r="AN54" t="s">
        <v>0</v>
      </c>
      <c r="AO54" t="str">
        <f t="shared" si="24"/>
        <v xml:space="preserve"> 10.0% </v>
      </c>
      <c r="AP54" t="s">
        <v>46</v>
      </c>
      <c r="AQ54" t="str">
        <f t="shared" si="25"/>
        <v xml:space="preserve"> AI-driven BA is a strategic priority </v>
      </c>
      <c r="AR54" t="str">
        <f t="shared" si="26"/>
        <v xml:space="preserve"> 8.0% </v>
      </c>
      <c r="AS54" t="s">
        <v>355</v>
      </c>
      <c r="AT54" t="str">
        <f t="shared" si="27"/>
        <v xml:space="preserve"> AI-driven BA is a strategic priority </v>
      </c>
      <c r="AU54" t="str">
        <f t="shared" si="28"/>
        <v xml:space="preserve"> 10.0% </v>
      </c>
      <c r="AV54" t="s">
        <v>1129</v>
      </c>
      <c r="AW54" t="str">
        <f t="shared" si="29"/>
        <v>AI-driven BA is a strategic priority</v>
      </c>
      <c r="AX54" t="str">
        <f t="shared" si="30"/>
        <v xml:space="preserve"> 10.0% </v>
      </c>
    </row>
    <row r="55" spans="1:50" x14ac:dyDescent="0.45">
      <c r="A55" t="s">
        <v>53</v>
      </c>
      <c r="B55" t="str">
        <f t="shared" si="0"/>
        <v/>
      </c>
      <c r="C55" t="str">
        <f t="shared" si="1"/>
        <v/>
      </c>
      <c r="D55" t="s">
        <v>222</v>
      </c>
      <c r="E55" t="str">
        <f t="shared" si="2"/>
        <v/>
      </c>
      <c r="F55" t="str">
        <f t="shared" si="3"/>
        <v/>
      </c>
      <c r="G55" t="s">
        <v>53</v>
      </c>
      <c r="H55" t="str">
        <f t="shared" si="4"/>
        <v/>
      </c>
      <c r="I55" t="str">
        <f t="shared" si="5"/>
        <v/>
      </c>
      <c r="J55" t="s">
        <v>53</v>
      </c>
      <c r="K55" t="str">
        <f t="shared" si="6"/>
        <v/>
      </c>
      <c r="L55" t="str">
        <f t="shared" si="7"/>
        <v/>
      </c>
      <c r="M55" t="s">
        <v>53</v>
      </c>
      <c r="N55" t="str">
        <f t="shared" si="8"/>
        <v/>
      </c>
      <c r="O55" t="str">
        <f t="shared" si="9"/>
        <v/>
      </c>
      <c r="P55" t="s">
        <v>53</v>
      </c>
      <c r="Q55" t="str">
        <f t="shared" si="10"/>
        <v/>
      </c>
      <c r="R55" t="str">
        <f t="shared" si="11"/>
        <v/>
      </c>
      <c r="S55" t="s">
        <v>53</v>
      </c>
      <c r="T55" t="str">
        <f t="shared" si="12"/>
        <v/>
      </c>
      <c r="U55" t="str">
        <f t="shared" si="13"/>
        <v/>
      </c>
      <c r="V55" t="s">
        <v>53</v>
      </c>
      <c r="W55" t="str">
        <f t="shared" si="14"/>
        <v/>
      </c>
      <c r="X55" t="str">
        <f t="shared" si="15"/>
        <v/>
      </c>
      <c r="Y55" t="s">
        <v>53</v>
      </c>
      <c r="Z55" t="str">
        <f t="shared" si="16"/>
        <v/>
      </c>
      <c r="AA55" t="str">
        <f t="shared" si="17"/>
        <v/>
      </c>
      <c r="AB55" t="s">
        <v>53</v>
      </c>
      <c r="AC55" t="str">
        <f t="shared" si="18"/>
        <v/>
      </c>
      <c r="AD55" t="str">
        <f t="shared" si="19"/>
        <v/>
      </c>
      <c r="AF55" t="s">
        <v>53</v>
      </c>
      <c r="AG55" t="str">
        <f t="shared" si="20"/>
        <v/>
      </c>
      <c r="AH55" t="str">
        <f t="shared" si="21"/>
        <v/>
      </c>
      <c r="AI55" t="s">
        <v>53</v>
      </c>
      <c r="AK55" t="str">
        <f t="shared" si="22"/>
        <v/>
      </c>
      <c r="AL55" t="str">
        <f t="shared" si="23"/>
        <v/>
      </c>
      <c r="AM55" t="s">
        <v>53</v>
      </c>
      <c r="AN55" t="s">
        <v>0</v>
      </c>
      <c r="AO55" t="str">
        <f t="shared" si="24"/>
        <v/>
      </c>
      <c r="AP55" t="s">
        <v>53</v>
      </c>
      <c r="AQ55" t="str">
        <f t="shared" si="25"/>
        <v/>
      </c>
      <c r="AR55" t="str">
        <f t="shared" si="26"/>
        <v/>
      </c>
      <c r="AS55" t="s">
        <v>53</v>
      </c>
      <c r="AT55" t="str">
        <f t="shared" si="27"/>
        <v/>
      </c>
      <c r="AU55" t="str">
        <f t="shared" si="28"/>
        <v/>
      </c>
      <c r="AV55" t="s">
        <v>1130</v>
      </c>
      <c r="AW55" t="str">
        <f t="shared" si="29"/>
        <v/>
      </c>
      <c r="AX55" t="str">
        <f t="shared" si="30"/>
        <v/>
      </c>
    </row>
    <row r="56" spans="1:50" x14ac:dyDescent="0.45">
      <c r="A56" t="s">
        <v>54</v>
      </c>
      <c r="B56" t="str">
        <f t="shared" si="0"/>
        <v xml:space="preserve"> Not using AI today </v>
      </c>
      <c r="C56" t="str">
        <f t="shared" si="1"/>
        <v xml:space="preserve"> 25.0% </v>
      </c>
      <c r="D56" t="s">
        <v>223</v>
      </c>
      <c r="E56" t="str">
        <f t="shared" si="2"/>
        <v xml:space="preserve"> Not using AI today </v>
      </c>
      <c r="F56" t="str">
        <f t="shared" si="3"/>
        <v xml:space="preserve"> 18.0% </v>
      </c>
      <c r="G56" t="s">
        <v>440</v>
      </c>
      <c r="H56" t="str">
        <f t="shared" si="4"/>
        <v xml:space="preserve"> Not using AI today </v>
      </c>
      <c r="I56" t="str">
        <f t="shared" si="5"/>
        <v xml:space="preserve"> 22.0% </v>
      </c>
      <c r="J56" t="s">
        <v>357</v>
      </c>
      <c r="K56" t="str">
        <f t="shared" si="6"/>
        <v xml:space="preserve"> Not using AI today </v>
      </c>
      <c r="L56" t="str">
        <f t="shared" si="7"/>
        <v xml:space="preserve"> 20.0% </v>
      </c>
      <c r="M56" t="s">
        <v>440</v>
      </c>
      <c r="N56" t="str">
        <f t="shared" si="8"/>
        <v xml:space="preserve"> Not using AI today </v>
      </c>
      <c r="O56" t="str">
        <f t="shared" si="9"/>
        <v xml:space="preserve"> 22.0% </v>
      </c>
      <c r="P56" t="s">
        <v>440</v>
      </c>
      <c r="Q56" t="str">
        <f t="shared" si="10"/>
        <v xml:space="preserve"> Not using AI today </v>
      </c>
      <c r="R56" t="str">
        <f t="shared" si="11"/>
        <v xml:space="preserve"> 22.0% </v>
      </c>
      <c r="S56" t="s">
        <v>357</v>
      </c>
      <c r="T56" t="str">
        <f t="shared" si="12"/>
        <v xml:space="preserve"> Not using AI today </v>
      </c>
      <c r="U56" t="str">
        <f t="shared" si="13"/>
        <v xml:space="preserve"> 20.0% </v>
      </c>
      <c r="V56" t="s">
        <v>54</v>
      </c>
      <c r="W56" t="str">
        <f t="shared" si="14"/>
        <v xml:space="preserve"> Not using AI today </v>
      </c>
      <c r="X56" t="str">
        <f t="shared" si="15"/>
        <v xml:space="preserve"> 25.0% </v>
      </c>
      <c r="Y56" t="s">
        <v>783</v>
      </c>
      <c r="Z56" t="str">
        <f t="shared" si="16"/>
        <v xml:space="preserve"> Not using AI today </v>
      </c>
      <c r="AA56" t="str">
        <f t="shared" si="17"/>
        <v xml:space="preserve"> 30.0% </v>
      </c>
      <c r="AB56" t="s">
        <v>54</v>
      </c>
      <c r="AC56" t="str">
        <f t="shared" si="18"/>
        <v xml:space="preserve"> Not using AI today </v>
      </c>
      <c r="AD56" t="str">
        <f t="shared" si="19"/>
        <v xml:space="preserve"> 25.0% </v>
      </c>
      <c r="AF56" t="s">
        <v>223</v>
      </c>
      <c r="AG56" t="str">
        <f t="shared" si="20"/>
        <v xml:space="preserve"> Not using AI today </v>
      </c>
      <c r="AH56" t="str">
        <f t="shared" si="21"/>
        <v xml:space="preserve"> 18.0% </v>
      </c>
      <c r="AI56" t="s">
        <v>54</v>
      </c>
      <c r="AK56" t="str">
        <f t="shared" si="22"/>
        <v xml:space="preserve"> Not using AI today </v>
      </c>
      <c r="AL56" t="str">
        <f t="shared" si="23"/>
        <v xml:space="preserve"> 25.0% </v>
      </c>
      <c r="AM56" t="s">
        <v>54</v>
      </c>
      <c r="AN56" t="s">
        <v>0</v>
      </c>
      <c r="AO56" t="str">
        <f t="shared" si="24"/>
        <v xml:space="preserve"> 25.0% </v>
      </c>
      <c r="AP56" t="s">
        <v>440</v>
      </c>
      <c r="AQ56" t="str">
        <f t="shared" si="25"/>
        <v xml:space="preserve"> Not using AI today </v>
      </c>
      <c r="AR56" t="str">
        <f t="shared" si="26"/>
        <v xml:space="preserve"> 22.0% </v>
      </c>
      <c r="AS56" t="s">
        <v>357</v>
      </c>
      <c r="AT56" t="str">
        <f t="shared" si="27"/>
        <v xml:space="preserve"> Not using AI today </v>
      </c>
      <c r="AU56" t="str">
        <f t="shared" si="28"/>
        <v xml:space="preserve"> 20.0% </v>
      </c>
      <c r="AV56" t="s">
        <v>1131</v>
      </c>
      <c r="AW56" t="str">
        <f t="shared" si="29"/>
        <v>Not using AI today</v>
      </c>
      <c r="AX56" t="str">
        <f t="shared" si="30"/>
        <v xml:space="preserve"> 25.0% </v>
      </c>
    </row>
    <row r="57" spans="1:50" x14ac:dyDescent="0.45">
      <c r="A57" t="s">
        <v>55</v>
      </c>
      <c r="B57" t="str">
        <f t="shared" si="0"/>
        <v xml:space="preserve"> Exploring / pilots </v>
      </c>
      <c r="C57" t="str">
        <f t="shared" si="1"/>
        <v xml:space="preserve"> 40.0% </v>
      </c>
      <c r="D57" t="s">
        <v>224</v>
      </c>
      <c r="E57" t="str">
        <f t="shared" si="2"/>
        <v xml:space="preserve"> Exploring / pilots </v>
      </c>
      <c r="F57" t="str">
        <f t="shared" si="3"/>
        <v xml:space="preserve"> 34.0% </v>
      </c>
      <c r="G57" t="s">
        <v>43</v>
      </c>
      <c r="H57" t="str">
        <f t="shared" si="4"/>
        <v xml:space="preserve"> Exploring / pilots </v>
      </c>
      <c r="I57" t="str">
        <f t="shared" si="5"/>
        <v xml:space="preserve"> 35.0% </v>
      </c>
      <c r="J57" t="s">
        <v>214</v>
      </c>
      <c r="K57" t="str">
        <f t="shared" si="6"/>
        <v xml:space="preserve"> Exploring / pilots </v>
      </c>
      <c r="L57" t="str">
        <f t="shared" si="7"/>
        <v xml:space="preserve"> 30.0% </v>
      </c>
      <c r="M57" t="s">
        <v>441</v>
      </c>
      <c r="N57" t="str">
        <f t="shared" si="8"/>
        <v xml:space="preserve"> Exploring / pilots </v>
      </c>
      <c r="O57" t="str">
        <f t="shared" si="9"/>
        <v xml:space="preserve"> 36.0% </v>
      </c>
      <c r="P57" t="s">
        <v>434</v>
      </c>
      <c r="Q57" t="str">
        <f t="shared" si="10"/>
        <v xml:space="preserve"> Exploring / pilots </v>
      </c>
      <c r="R57" t="str">
        <f t="shared" si="11"/>
        <v xml:space="preserve"> 33.0% </v>
      </c>
      <c r="S57" t="s">
        <v>43</v>
      </c>
      <c r="T57" t="str">
        <f t="shared" si="12"/>
        <v xml:space="preserve"> Exploring / pilots </v>
      </c>
      <c r="U57" t="str">
        <f t="shared" si="13"/>
        <v xml:space="preserve"> 35.0% </v>
      </c>
      <c r="V57" t="s">
        <v>214</v>
      </c>
      <c r="W57" t="str">
        <f t="shared" si="14"/>
        <v xml:space="preserve"> Exploring / pilots </v>
      </c>
      <c r="X57" t="str">
        <f t="shared" si="15"/>
        <v xml:space="preserve"> 30.0% </v>
      </c>
      <c r="Y57" t="s">
        <v>43</v>
      </c>
      <c r="Z57" t="str">
        <f t="shared" si="16"/>
        <v xml:space="preserve"> Exploring / pilots </v>
      </c>
      <c r="AA57" t="str">
        <f t="shared" si="17"/>
        <v xml:space="preserve"> 35.0% </v>
      </c>
      <c r="AB57" t="s">
        <v>43</v>
      </c>
      <c r="AC57" t="str">
        <f t="shared" si="18"/>
        <v xml:space="preserve"> Exploring / pilots </v>
      </c>
      <c r="AD57" t="str">
        <f t="shared" si="19"/>
        <v xml:space="preserve"> 35.0% </v>
      </c>
      <c r="AF57" t="s">
        <v>551</v>
      </c>
      <c r="AG57" t="str">
        <f t="shared" si="20"/>
        <v xml:space="preserve"> Exploring / pilots </v>
      </c>
      <c r="AH57" t="str">
        <f t="shared" si="21"/>
        <v xml:space="preserve"> 32.0% </v>
      </c>
      <c r="AI57" t="s">
        <v>954</v>
      </c>
      <c r="AK57" t="str">
        <f t="shared" si="22"/>
        <v xml:space="preserve"> Exploring / pilots </v>
      </c>
      <c r="AL57" t="str">
        <f t="shared" si="23"/>
        <v xml:space="preserve"> 38.0% </v>
      </c>
      <c r="AM57" t="s">
        <v>923</v>
      </c>
      <c r="AN57" t="s">
        <v>0</v>
      </c>
      <c r="AO57" t="str">
        <f t="shared" si="24"/>
        <v xml:space="preserve"> 45.0% </v>
      </c>
      <c r="AP57" t="s">
        <v>43</v>
      </c>
      <c r="AQ57" t="str">
        <f t="shared" si="25"/>
        <v xml:space="preserve"> Exploring / pilots </v>
      </c>
      <c r="AR57" t="str">
        <f t="shared" si="26"/>
        <v xml:space="preserve"> 35.0% </v>
      </c>
      <c r="AS57" t="s">
        <v>551</v>
      </c>
      <c r="AT57" t="str">
        <f t="shared" si="27"/>
        <v xml:space="preserve"> Exploring / pilots </v>
      </c>
      <c r="AU57" t="str">
        <f t="shared" si="28"/>
        <v xml:space="preserve"> 32.0% </v>
      </c>
      <c r="AV57" t="s">
        <v>1132</v>
      </c>
      <c r="AW57" t="str">
        <f t="shared" si="29"/>
        <v>Exploring / pilots</v>
      </c>
      <c r="AX57" t="str">
        <f t="shared" si="30"/>
        <v xml:space="preserve"> 40.0% </v>
      </c>
    </row>
    <row r="58" spans="1:50" x14ac:dyDescent="0.45">
      <c r="A58" t="s">
        <v>56</v>
      </c>
      <c r="B58" t="str">
        <f t="shared" si="0"/>
        <v xml:space="preserve"> In limited production use </v>
      </c>
      <c r="C58" t="str">
        <f t="shared" si="1"/>
        <v xml:space="preserve"> 20.0% </v>
      </c>
      <c r="D58" t="s">
        <v>225</v>
      </c>
      <c r="E58" t="str">
        <f t="shared" si="2"/>
        <v xml:space="preserve"> In limited production use </v>
      </c>
      <c r="F58" t="str">
        <f t="shared" si="3"/>
        <v xml:space="preserve"> 27.0% </v>
      </c>
      <c r="G58" t="s">
        <v>555</v>
      </c>
      <c r="H58" t="str">
        <f t="shared" si="4"/>
        <v xml:space="preserve"> In limited production use </v>
      </c>
      <c r="I58" t="str">
        <f t="shared" si="5"/>
        <v xml:space="preserve"> 24.0% </v>
      </c>
      <c r="J58" t="s">
        <v>44</v>
      </c>
      <c r="K58" t="str">
        <f t="shared" si="6"/>
        <v xml:space="preserve"> In limited production use </v>
      </c>
      <c r="L58" t="str">
        <f t="shared" si="7"/>
        <v xml:space="preserve"> 30.0% </v>
      </c>
      <c r="M58" t="s">
        <v>442</v>
      </c>
      <c r="N58" t="str">
        <f t="shared" si="8"/>
        <v xml:space="preserve"> In limited production use </v>
      </c>
      <c r="O58" t="str">
        <f t="shared" si="9"/>
        <v xml:space="preserve"> 25.0% </v>
      </c>
      <c r="P58" t="s">
        <v>442</v>
      </c>
      <c r="Q58" t="str">
        <f t="shared" si="10"/>
        <v xml:space="preserve"> In limited production use </v>
      </c>
      <c r="R58" t="str">
        <f t="shared" si="11"/>
        <v xml:space="preserve"> 25.0% </v>
      </c>
      <c r="S58" t="s">
        <v>442</v>
      </c>
      <c r="T58" t="str">
        <f t="shared" si="12"/>
        <v xml:space="preserve"> In limited production use </v>
      </c>
      <c r="U58" t="str">
        <f t="shared" si="13"/>
        <v xml:space="preserve"> 25.0% </v>
      </c>
      <c r="V58" t="s">
        <v>442</v>
      </c>
      <c r="W58" t="str">
        <f t="shared" si="14"/>
        <v xml:space="preserve"> In limited production use </v>
      </c>
      <c r="X58" t="str">
        <f t="shared" si="15"/>
        <v xml:space="preserve"> 25.0% </v>
      </c>
      <c r="Y58" t="s">
        <v>56</v>
      </c>
      <c r="Z58" t="str">
        <f t="shared" si="16"/>
        <v xml:space="preserve"> In limited production use </v>
      </c>
      <c r="AA58" t="str">
        <f t="shared" si="17"/>
        <v xml:space="preserve"> 20.0% </v>
      </c>
      <c r="AB58" t="s">
        <v>442</v>
      </c>
      <c r="AC58" t="str">
        <f t="shared" si="18"/>
        <v xml:space="preserve"> In limited production use </v>
      </c>
      <c r="AD58" t="str">
        <f t="shared" si="19"/>
        <v xml:space="preserve"> 25.0% </v>
      </c>
      <c r="AF58" t="s">
        <v>856</v>
      </c>
      <c r="AG58" t="str">
        <f t="shared" si="20"/>
        <v xml:space="preserve"> In limited production use </v>
      </c>
      <c r="AH58" t="str">
        <f t="shared" si="21"/>
        <v xml:space="preserve"> 28.0% </v>
      </c>
      <c r="AI58" t="s">
        <v>955</v>
      </c>
      <c r="AK58" t="str">
        <f t="shared" si="22"/>
        <v xml:space="preserve"> In limited production use </v>
      </c>
      <c r="AL58" t="str">
        <f t="shared" si="23"/>
        <v xml:space="preserve"> 22.0% </v>
      </c>
      <c r="AM58" t="s">
        <v>56</v>
      </c>
      <c r="AN58" t="s">
        <v>0</v>
      </c>
      <c r="AO58" t="str">
        <f t="shared" si="24"/>
        <v xml:space="preserve"> 20.0% </v>
      </c>
      <c r="AP58" t="s">
        <v>442</v>
      </c>
      <c r="AQ58" t="str">
        <f t="shared" si="25"/>
        <v xml:space="preserve"> In limited production use </v>
      </c>
      <c r="AR58" t="str">
        <f t="shared" si="26"/>
        <v xml:space="preserve"> 25.0% </v>
      </c>
      <c r="AS58" t="s">
        <v>442</v>
      </c>
      <c r="AT58" t="str">
        <f t="shared" si="27"/>
        <v xml:space="preserve"> In limited production use </v>
      </c>
      <c r="AU58" t="str">
        <f t="shared" si="28"/>
        <v xml:space="preserve"> 25.0% </v>
      </c>
      <c r="AV58" t="s">
        <v>1133</v>
      </c>
      <c r="AW58" t="str">
        <f t="shared" si="29"/>
        <v>In limited production use</v>
      </c>
      <c r="AX58" t="str">
        <f t="shared" si="30"/>
        <v xml:space="preserve"> 25.0% </v>
      </c>
    </row>
    <row r="59" spans="1:50" x14ac:dyDescent="0.45">
      <c r="A59" t="s">
        <v>57</v>
      </c>
      <c r="B59" t="str">
        <f t="shared" si="0"/>
        <v xml:space="preserve"> Widely used in BA operations </v>
      </c>
      <c r="C59" t="str">
        <f t="shared" si="1"/>
        <v xml:space="preserve"> 10.0% </v>
      </c>
      <c r="D59" t="s">
        <v>226</v>
      </c>
      <c r="E59" t="str">
        <f t="shared" si="2"/>
        <v xml:space="preserve"> Widely used in BA operations </v>
      </c>
      <c r="F59" t="str">
        <f t="shared" si="3"/>
        <v xml:space="preserve"> 14.0% </v>
      </c>
      <c r="G59" t="s">
        <v>556</v>
      </c>
      <c r="H59" t="str">
        <f t="shared" si="4"/>
        <v xml:space="preserve"> Widely used in BA operations </v>
      </c>
      <c r="I59" t="str">
        <f t="shared" si="5"/>
        <v xml:space="preserve"> 13.0% </v>
      </c>
      <c r="J59" t="s">
        <v>358</v>
      </c>
      <c r="K59" t="str">
        <f t="shared" si="6"/>
        <v xml:space="preserve"> Widely used in BA operations </v>
      </c>
      <c r="L59" t="str">
        <f t="shared" si="7"/>
        <v xml:space="preserve"> 15.0% </v>
      </c>
      <c r="M59" t="s">
        <v>45</v>
      </c>
      <c r="N59" t="str">
        <f t="shared" si="8"/>
        <v xml:space="preserve"> Widely used in BA operations </v>
      </c>
      <c r="O59" t="str">
        <f t="shared" si="9"/>
        <v xml:space="preserve"> 12.0% </v>
      </c>
      <c r="P59" t="s">
        <v>556</v>
      </c>
      <c r="Q59" t="str">
        <f t="shared" si="10"/>
        <v xml:space="preserve"> Widely used in BA operations </v>
      </c>
      <c r="R59" t="str">
        <f t="shared" si="11"/>
        <v xml:space="preserve"> 13.0% </v>
      </c>
      <c r="S59" t="s">
        <v>226</v>
      </c>
      <c r="T59" t="str">
        <f t="shared" si="12"/>
        <v xml:space="preserve"> Widely used in BA operations </v>
      </c>
      <c r="U59" t="str">
        <f t="shared" si="13"/>
        <v xml:space="preserve"> 14.0% </v>
      </c>
      <c r="V59" t="s">
        <v>358</v>
      </c>
      <c r="W59" t="str">
        <f t="shared" si="14"/>
        <v xml:space="preserve"> Widely used in BA operations </v>
      </c>
      <c r="X59" t="str">
        <f t="shared" si="15"/>
        <v xml:space="preserve"> 15.0% </v>
      </c>
      <c r="Y59" t="s">
        <v>57</v>
      </c>
      <c r="Z59" t="str">
        <f t="shared" si="16"/>
        <v xml:space="preserve"> Widely used in BA operations </v>
      </c>
      <c r="AA59" t="str">
        <f t="shared" si="17"/>
        <v xml:space="preserve"> 10.0% </v>
      </c>
      <c r="AB59" t="s">
        <v>57</v>
      </c>
      <c r="AC59" t="str">
        <f t="shared" si="18"/>
        <v xml:space="preserve"> Widely used in BA operations </v>
      </c>
      <c r="AD59" t="str">
        <f t="shared" si="19"/>
        <v xml:space="preserve"> 10.0% </v>
      </c>
      <c r="AF59" t="s">
        <v>857</v>
      </c>
      <c r="AG59" t="str">
        <f t="shared" si="20"/>
        <v xml:space="preserve"> Widely used in BA operations </v>
      </c>
      <c r="AH59" t="str">
        <f t="shared" si="21"/>
        <v xml:space="preserve"> 16.0% </v>
      </c>
      <c r="AI59" t="s">
        <v>57</v>
      </c>
      <c r="AK59" t="str">
        <f t="shared" si="22"/>
        <v xml:space="preserve"> Widely used in BA operations </v>
      </c>
      <c r="AL59" t="str">
        <f t="shared" si="23"/>
        <v xml:space="preserve"> 10.0% </v>
      </c>
      <c r="AM59" t="s">
        <v>924</v>
      </c>
      <c r="AN59" t="s">
        <v>0</v>
      </c>
      <c r="AO59" t="str">
        <f t="shared" si="24"/>
        <v xml:space="preserve"> 5.0% </v>
      </c>
      <c r="AP59" t="s">
        <v>226</v>
      </c>
      <c r="AQ59" t="str">
        <f t="shared" si="25"/>
        <v xml:space="preserve"> Widely used in BA operations </v>
      </c>
      <c r="AR59" t="str">
        <f t="shared" si="26"/>
        <v xml:space="preserve"> 14.0% </v>
      </c>
      <c r="AS59" t="s">
        <v>226</v>
      </c>
      <c r="AT59" t="str">
        <f t="shared" si="27"/>
        <v xml:space="preserve"> Widely used in BA operations </v>
      </c>
      <c r="AU59" t="str">
        <f t="shared" si="28"/>
        <v xml:space="preserve"> 14.0% </v>
      </c>
      <c r="AV59" t="s">
        <v>1134</v>
      </c>
      <c r="AW59" t="str">
        <f t="shared" si="29"/>
        <v>Widely used in BA operations</v>
      </c>
      <c r="AX59" t="str">
        <f t="shared" si="30"/>
        <v xml:space="preserve"> 8.0% </v>
      </c>
    </row>
    <row r="60" spans="1:50" x14ac:dyDescent="0.45">
      <c r="A60" t="s">
        <v>58</v>
      </c>
      <c r="B60" t="str">
        <f t="shared" si="0"/>
        <v xml:space="preserve"> AI-driven BA is a strategic priority </v>
      </c>
      <c r="C60" t="str">
        <f t="shared" si="1"/>
        <v xml:space="preserve"> 5.0% </v>
      </c>
      <c r="D60" t="s">
        <v>227</v>
      </c>
      <c r="E60" t="str">
        <f t="shared" si="2"/>
        <v xml:space="preserve"> AI-driven BA is a strategic priority </v>
      </c>
      <c r="F60" t="str">
        <f t="shared" si="3"/>
        <v xml:space="preserve"> 7.0% </v>
      </c>
      <c r="G60" t="s">
        <v>436</v>
      </c>
      <c r="H60" t="str">
        <f t="shared" si="4"/>
        <v xml:space="preserve"> AI-driven BA is a strategic priority </v>
      </c>
      <c r="I60" t="str">
        <f t="shared" si="5"/>
        <v xml:space="preserve"> 6.0% </v>
      </c>
      <c r="J60" t="s">
        <v>58</v>
      </c>
      <c r="K60" t="str">
        <f t="shared" si="6"/>
        <v xml:space="preserve"> AI-driven BA is a strategic priority </v>
      </c>
      <c r="L60" t="str">
        <f t="shared" si="7"/>
        <v xml:space="preserve"> 5.0% </v>
      </c>
      <c r="M60" t="s">
        <v>58</v>
      </c>
      <c r="N60" t="str">
        <f t="shared" si="8"/>
        <v xml:space="preserve"> AI-driven BA is a strategic priority </v>
      </c>
      <c r="O60" t="str">
        <f t="shared" si="9"/>
        <v xml:space="preserve"> 5.0% </v>
      </c>
      <c r="P60" t="s">
        <v>227</v>
      </c>
      <c r="Q60" t="str">
        <f t="shared" si="10"/>
        <v xml:space="preserve"> AI-driven BA is a strategic priority </v>
      </c>
      <c r="R60" t="str">
        <f t="shared" si="11"/>
        <v xml:space="preserve"> 7.0% </v>
      </c>
      <c r="S60" t="s">
        <v>436</v>
      </c>
      <c r="T60" t="str">
        <f t="shared" si="12"/>
        <v xml:space="preserve"> AI-driven BA is a strategic priority </v>
      </c>
      <c r="U60" t="str">
        <f t="shared" si="13"/>
        <v xml:space="preserve"> 6.0% </v>
      </c>
      <c r="V60" t="s">
        <v>58</v>
      </c>
      <c r="W60" t="str">
        <f t="shared" si="14"/>
        <v xml:space="preserve"> AI-driven BA is a strategic priority </v>
      </c>
      <c r="X60" t="str">
        <f t="shared" si="15"/>
        <v xml:space="preserve"> 5.0% </v>
      </c>
      <c r="Y60" t="s">
        <v>58</v>
      </c>
      <c r="Z60" t="str">
        <f t="shared" si="16"/>
        <v xml:space="preserve"> AI-driven BA is a strategic priority </v>
      </c>
      <c r="AA60" t="str">
        <f t="shared" si="17"/>
        <v xml:space="preserve"> 5.0% </v>
      </c>
      <c r="AB60" t="s">
        <v>58</v>
      </c>
      <c r="AC60" t="str">
        <f t="shared" si="18"/>
        <v xml:space="preserve"> AI-driven BA is a strategic priority </v>
      </c>
      <c r="AD60" t="str">
        <f t="shared" si="19"/>
        <v xml:space="preserve"> 5.0% </v>
      </c>
      <c r="AF60" t="s">
        <v>436</v>
      </c>
      <c r="AG60" t="str">
        <f t="shared" si="20"/>
        <v xml:space="preserve"> AI-driven BA is a strategic priority </v>
      </c>
      <c r="AH60" t="str">
        <f t="shared" si="21"/>
        <v xml:space="preserve"> 6.0% </v>
      </c>
      <c r="AI60" t="s">
        <v>58</v>
      </c>
      <c r="AK60" t="str">
        <f t="shared" si="22"/>
        <v xml:space="preserve"> AI-driven BA is a strategic priority </v>
      </c>
      <c r="AL60" t="str">
        <f t="shared" si="23"/>
        <v xml:space="preserve"> 5.0% </v>
      </c>
      <c r="AM60" t="s">
        <v>58</v>
      </c>
      <c r="AN60" t="s">
        <v>0</v>
      </c>
      <c r="AO60" t="str">
        <f t="shared" si="24"/>
        <v xml:space="preserve"> 5.0% </v>
      </c>
      <c r="AP60" t="s">
        <v>986</v>
      </c>
      <c r="AQ60" t="str">
        <f t="shared" si="25"/>
        <v xml:space="preserve"> AI-driven BA is a strategic priority </v>
      </c>
      <c r="AR60" t="str">
        <f t="shared" si="26"/>
        <v xml:space="preserve"> 4.0% </v>
      </c>
      <c r="AS60" t="s">
        <v>1053</v>
      </c>
      <c r="AT60" t="str">
        <f t="shared" si="27"/>
        <v xml:space="preserve"> AI-driven BA is a strategic priority </v>
      </c>
      <c r="AU60" t="str">
        <f t="shared" si="28"/>
        <v xml:space="preserve"> 9.0% </v>
      </c>
      <c r="AV60" t="s">
        <v>1135</v>
      </c>
      <c r="AW60" t="str">
        <f t="shared" si="29"/>
        <v>AI-driven BA is a strategic priority</v>
      </c>
      <c r="AX60" t="str">
        <f t="shared" si="30"/>
        <v xml:space="preserve"> 2.0% </v>
      </c>
    </row>
    <row r="61" spans="1:50" x14ac:dyDescent="0.45">
      <c r="A61" t="s">
        <v>59</v>
      </c>
      <c r="B61" t="str">
        <f t="shared" si="0"/>
        <v/>
      </c>
      <c r="C61" t="str">
        <f t="shared" si="1"/>
        <v/>
      </c>
      <c r="D61" t="s">
        <v>228</v>
      </c>
      <c r="E61" t="str">
        <f t="shared" si="2"/>
        <v/>
      </c>
      <c r="F61" t="str">
        <f t="shared" si="3"/>
        <v/>
      </c>
      <c r="G61" t="s">
        <v>59</v>
      </c>
      <c r="H61" t="str">
        <f t="shared" si="4"/>
        <v/>
      </c>
      <c r="I61" t="str">
        <f t="shared" si="5"/>
        <v/>
      </c>
      <c r="J61" t="s">
        <v>59</v>
      </c>
      <c r="K61" t="str">
        <f t="shared" si="6"/>
        <v/>
      </c>
      <c r="L61" t="str">
        <f t="shared" si="7"/>
        <v/>
      </c>
      <c r="M61" t="s">
        <v>59</v>
      </c>
      <c r="N61" t="str">
        <f t="shared" si="8"/>
        <v/>
      </c>
      <c r="O61" t="str">
        <f t="shared" si="9"/>
        <v/>
      </c>
      <c r="P61" t="s">
        <v>619</v>
      </c>
      <c r="Q61" t="str">
        <f t="shared" si="10"/>
        <v/>
      </c>
      <c r="R61" t="str">
        <f t="shared" si="11"/>
        <v/>
      </c>
      <c r="S61" t="s">
        <v>686</v>
      </c>
      <c r="T61" t="str">
        <f t="shared" si="12"/>
        <v/>
      </c>
      <c r="U61" t="str">
        <f t="shared" si="13"/>
        <v/>
      </c>
      <c r="V61" t="s">
        <v>731</v>
      </c>
      <c r="W61" t="str">
        <f t="shared" si="14"/>
        <v/>
      </c>
      <c r="X61" t="str">
        <f t="shared" si="15"/>
        <v/>
      </c>
      <c r="Y61" t="s">
        <v>59</v>
      </c>
      <c r="Z61" t="str">
        <f t="shared" si="16"/>
        <v/>
      </c>
      <c r="AA61" t="str">
        <f t="shared" si="17"/>
        <v/>
      </c>
      <c r="AB61" t="s">
        <v>59</v>
      </c>
      <c r="AC61" t="str">
        <f t="shared" si="18"/>
        <v/>
      </c>
      <c r="AD61" t="str">
        <f t="shared" si="19"/>
        <v/>
      </c>
      <c r="AF61" t="s">
        <v>59</v>
      </c>
      <c r="AG61" t="str">
        <f t="shared" si="20"/>
        <v/>
      </c>
      <c r="AH61" t="str">
        <f t="shared" si="21"/>
        <v/>
      </c>
      <c r="AI61" t="s">
        <v>59</v>
      </c>
      <c r="AK61" t="str">
        <f t="shared" si="22"/>
        <v/>
      </c>
      <c r="AL61" t="str">
        <f t="shared" si="23"/>
        <v/>
      </c>
      <c r="AM61" t="s">
        <v>59</v>
      </c>
      <c r="AN61" t="s">
        <v>0</v>
      </c>
      <c r="AO61" t="str">
        <f t="shared" si="24"/>
        <v/>
      </c>
      <c r="AP61" t="s">
        <v>59</v>
      </c>
      <c r="AQ61" t="str">
        <f t="shared" si="25"/>
        <v/>
      </c>
      <c r="AR61" t="str">
        <f t="shared" si="26"/>
        <v/>
      </c>
      <c r="AS61" t="s">
        <v>59</v>
      </c>
      <c r="AT61" t="str">
        <f t="shared" si="27"/>
        <v/>
      </c>
      <c r="AU61" t="str">
        <f t="shared" si="28"/>
        <v/>
      </c>
      <c r="AV61" t="s">
        <v>1136</v>
      </c>
      <c r="AW61" t="str">
        <f t="shared" si="29"/>
        <v/>
      </c>
      <c r="AX61" t="str">
        <f t="shared" si="30"/>
        <v/>
      </c>
    </row>
    <row r="62" spans="1:50" x14ac:dyDescent="0.45">
      <c r="A62" t="s">
        <v>41</v>
      </c>
      <c r="B62" t="str">
        <f t="shared" si="0"/>
        <v/>
      </c>
      <c r="C62" t="str">
        <f t="shared" si="1"/>
        <v/>
      </c>
      <c r="D62" t="s">
        <v>212</v>
      </c>
      <c r="E62" t="str">
        <f t="shared" si="2"/>
        <v/>
      </c>
      <c r="F62" t="str">
        <f t="shared" si="3"/>
        <v/>
      </c>
      <c r="G62" t="s">
        <v>41</v>
      </c>
      <c r="H62" t="str">
        <f t="shared" si="4"/>
        <v/>
      </c>
      <c r="I62" t="str">
        <f t="shared" si="5"/>
        <v/>
      </c>
      <c r="J62" t="s">
        <v>41</v>
      </c>
      <c r="K62" t="str">
        <f t="shared" si="6"/>
        <v/>
      </c>
      <c r="L62" t="str">
        <f t="shared" si="7"/>
        <v/>
      </c>
      <c r="M62" t="s">
        <v>41</v>
      </c>
      <c r="N62" t="str">
        <f t="shared" si="8"/>
        <v/>
      </c>
      <c r="O62" t="str">
        <f t="shared" si="9"/>
        <v/>
      </c>
      <c r="P62" t="s">
        <v>41</v>
      </c>
      <c r="Q62" t="str">
        <f t="shared" si="10"/>
        <v/>
      </c>
      <c r="R62" t="str">
        <f t="shared" si="11"/>
        <v/>
      </c>
      <c r="S62" t="s">
        <v>41</v>
      </c>
      <c r="T62" t="str">
        <f t="shared" si="12"/>
        <v/>
      </c>
      <c r="U62" t="str">
        <f t="shared" si="13"/>
        <v/>
      </c>
      <c r="V62" t="s">
        <v>41</v>
      </c>
      <c r="W62" t="str">
        <f t="shared" si="14"/>
        <v/>
      </c>
      <c r="X62" t="str">
        <f t="shared" si="15"/>
        <v/>
      </c>
      <c r="Y62" t="s">
        <v>41</v>
      </c>
      <c r="Z62" t="str">
        <f t="shared" si="16"/>
        <v/>
      </c>
      <c r="AA62" t="str">
        <f t="shared" si="17"/>
        <v/>
      </c>
      <c r="AB62" t="s">
        <v>41</v>
      </c>
      <c r="AC62" t="str">
        <f t="shared" si="18"/>
        <v/>
      </c>
      <c r="AD62" t="str">
        <f t="shared" si="19"/>
        <v/>
      </c>
      <c r="AF62" t="s">
        <v>41</v>
      </c>
      <c r="AG62" t="str">
        <f t="shared" si="20"/>
        <v/>
      </c>
      <c r="AH62" t="str">
        <f t="shared" si="21"/>
        <v/>
      </c>
      <c r="AI62" t="s">
        <v>41</v>
      </c>
      <c r="AK62" t="str">
        <f t="shared" si="22"/>
        <v/>
      </c>
      <c r="AL62" t="str">
        <f t="shared" si="23"/>
        <v/>
      </c>
      <c r="AM62" t="s">
        <v>41</v>
      </c>
      <c r="AN62" t="s">
        <v>0</v>
      </c>
      <c r="AO62" t="str">
        <f t="shared" si="24"/>
        <v/>
      </c>
      <c r="AP62" t="s">
        <v>41</v>
      </c>
      <c r="AQ62" t="str">
        <f t="shared" si="25"/>
        <v/>
      </c>
      <c r="AR62" t="str">
        <f t="shared" si="26"/>
        <v/>
      </c>
      <c r="AS62" t="s">
        <v>41</v>
      </c>
      <c r="AT62" t="str">
        <f t="shared" si="27"/>
        <v/>
      </c>
      <c r="AU62" t="str">
        <f t="shared" si="28"/>
        <v/>
      </c>
      <c r="AV62" t="s">
        <v>1118</v>
      </c>
      <c r="AW62" t="str">
        <f t="shared" si="29"/>
        <v/>
      </c>
      <c r="AX62" t="str">
        <f t="shared" si="30"/>
        <v/>
      </c>
    </row>
    <row r="63" spans="1:50" x14ac:dyDescent="0.45">
      <c r="A63" t="s">
        <v>60</v>
      </c>
      <c r="B63" t="str">
        <f t="shared" si="0"/>
        <v xml:space="preserve"> Internally developed </v>
      </c>
      <c r="C63" t="str">
        <f t="shared" si="1"/>
        <v xml:space="preserve"> 45.0% </v>
      </c>
      <c r="D63" t="s">
        <v>229</v>
      </c>
      <c r="E63" t="str">
        <f t="shared" si="2"/>
        <v xml:space="preserve"> Internally developed </v>
      </c>
      <c r="F63" t="str">
        <f t="shared" si="3"/>
        <v xml:space="preserve"> 38.0% </v>
      </c>
      <c r="G63" t="s">
        <v>66</v>
      </c>
      <c r="H63" t="str">
        <f t="shared" si="4"/>
        <v xml:space="preserve"> Internally developed </v>
      </c>
      <c r="I63" t="str">
        <f t="shared" si="5"/>
        <v xml:space="preserve"> 35.0% </v>
      </c>
      <c r="J63" t="s">
        <v>71</v>
      </c>
      <c r="K63" t="str">
        <f t="shared" si="6"/>
        <v xml:space="preserve"> Internally developed </v>
      </c>
      <c r="L63" t="str">
        <f t="shared" si="7"/>
        <v xml:space="preserve"> 40.0% </v>
      </c>
      <c r="M63" t="s">
        <v>443</v>
      </c>
      <c r="N63" t="str">
        <f t="shared" si="8"/>
        <v xml:space="preserve"> Internally developed </v>
      </c>
      <c r="O63" t="str">
        <f t="shared" si="9"/>
        <v xml:space="preserve"> 34.0% </v>
      </c>
      <c r="P63" t="s">
        <v>60</v>
      </c>
      <c r="Q63" t="str">
        <f t="shared" si="10"/>
        <v xml:space="preserve"> Internally developed </v>
      </c>
      <c r="R63" t="str">
        <f t="shared" si="11"/>
        <v xml:space="preserve"> 45.0% </v>
      </c>
      <c r="S63" t="s">
        <v>66</v>
      </c>
      <c r="T63" t="str">
        <f t="shared" si="12"/>
        <v xml:space="preserve"> Internally developed </v>
      </c>
      <c r="U63" t="str">
        <f t="shared" si="13"/>
        <v xml:space="preserve"> 35.0% </v>
      </c>
      <c r="V63" t="s">
        <v>71</v>
      </c>
      <c r="W63" t="str">
        <f t="shared" si="14"/>
        <v xml:space="preserve"> Internally developed </v>
      </c>
      <c r="X63" t="str">
        <f t="shared" si="15"/>
        <v xml:space="preserve"> 40.0% </v>
      </c>
      <c r="Y63" t="s">
        <v>558</v>
      </c>
      <c r="Z63" t="str">
        <f t="shared" si="16"/>
        <v xml:space="preserve"> Internally developed </v>
      </c>
      <c r="AA63" t="str">
        <f t="shared" si="17"/>
        <v xml:space="preserve"> 25.0% </v>
      </c>
      <c r="AB63" t="s">
        <v>71</v>
      </c>
      <c r="AC63" t="str">
        <f t="shared" si="18"/>
        <v xml:space="preserve"> Internally developed </v>
      </c>
      <c r="AD63" t="str">
        <f t="shared" si="19"/>
        <v xml:space="preserve"> 40.0% </v>
      </c>
      <c r="AF63" t="s">
        <v>443</v>
      </c>
      <c r="AG63" t="str">
        <f t="shared" si="20"/>
        <v xml:space="preserve"> Internally developed </v>
      </c>
      <c r="AH63" t="str">
        <f t="shared" si="21"/>
        <v xml:space="preserve"> 34.0% </v>
      </c>
      <c r="AI63" t="s">
        <v>66</v>
      </c>
      <c r="AK63" t="str">
        <f t="shared" si="22"/>
        <v xml:space="preserve"> Internally developed </v>
      </c>
      <c r="AL63" t="str">
        <f t="shared" si="23"/>
        <v xml:space="preserve"> 35.0% </v>
      </c>
      <c r="AM63" t="s">
        <v>239</v>
      </c>
      <c r="AN63" t="s">
        <v>0</v>
      </c>
      <c r="AO63" t="str">
        <f t="shared" si="24"/>
        <v xml:space="preserve"> 30.0% </v>
      </c>
      <c r="AP63" t="s">
        <v>229</v>
      </c>
      <c r="AQ63" t="str">
        <f t="shared" si="25"/>
        <v xml:space="preserve"> Internally developed </v>
      </c>
      <c r="AR63" t="str">
        <f t="shared" si="26"/>
        <v xml:space="preserve"> 38.0% </v>
      </c>
      <c r="AS63" t="s">
        <v>992</v>
      </c>
      <c r="AT63" t="str">
        <f t="shared" si="27"/>
        <v xml:space="preserve"> Internally developed </v>
      </c>
      <c r="AU63" t="str">
        <f t="shared" si="28"/>
        <v xml:space="preserve"> 28.0% </v>
      </c>
      <c r="AV63" t="s">
        <v>1137</v>
      </c>
      <c r="AW63" t="str">
        <f t="shared" si="29"/>
        <v>Internally developed</v>
      </c>
      <c r="AX63" t="str">
        <f t="shared" si="30"/>
        <v xml:space="preserve"> 25.0% </v>
      </c>
    </row>
    <row r="64" spans="1:50" x14ac:dyDescent="0.45">
      <c r="A64" t="s">
        <v>61</v>
      </c>
      <c r="B64" t="str">
        <f t="shared" si="0"/>
        <v xml:space="preserve"> BA vendor solutions </v>
      </c>
      <c r="C64" t="str">
        <f t="shared" si="1"/>
        <v xml:space="preserve"> 65.0% </v>
      </c>
      <c r="D64" t="s">
        <v>230</v>
      </c>
      <c r="E64" t="str">
        <f t="shared" si="2"/>
        <v xml:space="preserve"> BA vendor solutions </v>
      </c>
      <c r="F64" t="str">
        <f t="shared" si="3"/>
        <v xml:space="preserve"> 52.0% </v>
      </c>
      <c r="G64" t="s">
        <v>359</v>
      </c>
      <c r="H64" t="str">
        <f t="shared" si="4"/>
        <v xml:space="preserve"> BA vendor solutions </v>
      </c>
      <c r="I64" t="str">
        <f t="shared" si="5"/>
        <v xml:space="preserve"> 55.0% </v>
      </c>
      <c r="J64" t="s">
        <v>72</v>
      </c>
      <c r="K64" t="str">
        <f t="shared" si="6"/>
        <v xml:space="preserve"> BA vendor solutions </v>
      </c>
      <c r="L64" t="str">
        <f t="shared" si="7"/>
        <v xml:space="preserve"> 50.0% </v>
      </c>
      <c r="M64" t="s">
        <v>444</v>
      </c>
      <c r="N64" t="str">
        <f t="shared" si="8"/>
        <v xml:space="preserve"> BA vendor solutions </v>
      </c>
      <c r="O64" t="str">
        <f t="shared" si="9"/>
        <v xml:space="preserve"> 56.0% </v>
      </c>
      <c r="P64" t="s">
        <v>359</v>
      </c>
      <c r="Q64" t="str">
        <f t="shared" si="10"/>
        <v xml:space="preserve"> BA vendor solutions </v>
      </c>
      <c r="R64" t="str">
        <f t="shared" si="11"/>
        <v xml:space="preserve"> 55.0% </v>
      </c>
      <c r="S64" t="s">
        <v>61</v>
      </c>
      <c r="T64" t="str">
        <f t="shared" si="12"/>
        <v xml:space="preserve"> BA vendor solutions </v>
      </c>
      <c r="U64" t="str">
        <f t="shared" si="13"/>
        <v xml:space="preserve"> 65.0% </v>
      </c>
      <c r="V64" t="s">
        <v>557</v>
      </c>
      <c r="W64" t="str">
        <f t="shared" si="14"/>
        <v xml:space="preserve"> BA vendor solutions </v>
      </c>
      <c r="X64" t="str">
        <f t="shared" si="15"/>
        <v xml:space="preserve"> 60.0% </v>
      </c>
      <c r="Y64" t="s">
        <v>784</v>
      </c>
      <c r="Z64" t="str">
        <f t="shared" si="16"/>
        <v xml:space="preserve"> BA vendor solutions </v>
      </c>
      <c r="AA64" t="str">
        <f t="shared" si="17"/>
        <v xml:space="preserve"> 45.0% </v>
      </c>
      <c r="AB64" t="s">
        <v>61</v>
      </c>
      <c r="AC64" t="str">
        <f t="shared" si="18"/>
        <v xml:space="preserve"> BA vendor solutions </v>
      </c>
      <c r="AD64" t="str">
        <f t="shared" si="19"/>
        <v xml:space="preserve"> 65.0% </v>
      </c>
      <c r="AF64" t="s">
        <v>858</v>
      </c>
      <c r="AG64" t="str">
        <f t="shared" si="20"/>
        <v xml:space="preserve"> BA vendor solutions </v>
      </c>
      <c r="AH64" t="str">
        <f t="shared" si="21"/>
        <v xml:space="preserve"> 62.0% </v>
      </c>
      <c r="AI64" t="s">
        <v>61</v>
      </c>
      <c r="AK64" t="str">
        <f t="shared" si="22"/>
        <v xml:space="preserve"> BA vendor solutions </v>
      </c>
      <c r="AL64" t="str">
        <f t="shared" si="23"/>
        <v xml:space="preserve"> 65.0% </v>
      </c>
      <c r="AM64" t="s">
        <v>61</v>
      </c>
      <c r="AN64" t="s">
        <v>0</v>
      </c>
      <c r="AO64" t="str">
        <f t="shared" si="24"/>
        <v xml:space="preserve"> 65.0% </v>
      </c>
      <c r="AP64" t="s">
        <v>987</v>
      </c>
      <c r="AQ64" t="str">
        <f t="shared" si="25"/>
        <v xml:space="preserve"> BA vendor solutions </v>
      </c>
      <c r="AR64" t="str">
        <f t="shared" si="26"/>
        <v xml:space="preserve"> 46.0% </v>
      </c>
      <c r="AS64" t="s">
        <v>784</v>
      </c>
      <c r="AT64" t="str">
        <f t="shared" si="27"/>
        <v xml:space="preserve"> BA vendor solutions </v>
      </c>
      <c r="AU64" t="str">
        <f t="shared" si="28"/>
        <v xml:space="preserve"> 45.0% </v>
      </c>
      <c r="AV64" t="s">
        <v>1138</v>
      </c>
      <c r="AW64" t="str">
        <f t="shared" si="29"/>
        <v>BA vendor solutions</v>
      </c>
      <c r="AX64" t="str">
        <f t="shared" si="30"/>
        <v xml:space="preserve"> 40.0% </v>
      </c>
    </row>
    <row r="65" spans="1:50" x14ac:dyDescent="0.45">
      <c r="A65" t="s">
        <v>62</v>
      </c>
      <c r="B65" t="str">
        <f t="shared" si="0"/>
        <v xml:space="preserve"> General AI vendors / platforms </v>
      </c>
      <c r="C65" t="str">
        <f t="shared" si="1"/>
        <v xml:space="preserve"> 30.0% </v>
      </c>
      <c r="D65" t="s">
        <v>62</v>
      </c>
      <c r="E65" t="str">
        <f t="shared" si="2"/>
        <v xml:space="preserve"> General AI vendors / platforms </v>
      </c>
      <c r="F65" t="str">
        <f t="shared" si="3"/>
        <v xml:space="preserve"> 30.0% </v>
      </c>
      <c r="G65" t="s">
        <v>73</v>
      </c>
      <c r="H65" t="str">
        <f t="shared" si="4"/>
        <v xml:space="preserve"> General AI vendors / platforms </v>
      </c>
      <c r="I65" t="str">
        <f t="shared" si="5"/>
        <v xml:space="preserve"> 40.0% </v>
      </c>
      <c r="J65" t="s">
        <v>62</v>
      </c>
      <c r="K65" t="str">
        <f t="shared" si="6"/>
        <v xml:space="preserve"> General AI vendors / platforms </v>
      </c>
      <c r="L65" t="str">
        <f t="shared" si="7"/>
        <v xml:space="preserve"> 30.0% </v>
      </c>
      <c r="M65" t="s">
        <v>445</v>
      </c>
      <c r="N65" t="str">
        <f t="shared" si="8"/>
        <v xml:space="preserve"> General AI vendors / platforms </v>
      </c>
      <c r="O65" t="str">
        <f t="shared" si="9"/>
        <v xml:space="preserve"> 41.0% </v>
      </c>
      <c r="P65" t="s">
        <v>62</v>
      </c>
      <c r="Q65" t="str">
        <f t="shared" si="10"/>
        <v xml:space="preserve"> General AI vendors / platforms </v>
      </c>
      <c r="R65" t="str">
        <f t="shared" si="11"/>
        <v xml:space="preserve"> 30.0% </v>
      </c>
      <c r="S65" t="s">
        <v>62</v>
      </c>
      <c r="T65" t="str">
        <f t="shared" si="12"/>
        <v xml:space="preserve"> General AI vendors / platforms </v>
      </c>
      <c r="U65" t="str">
        <f t="shared" si="13"/>
        <v xml:space="preserve"> 30.0% </v>
      </c>
      <c r="V65" t="s">
        <v>360</v>
      </c>
      <c r="W65" t="str">
        <f t="shared" si="14"/>
        <v xml:space="preserve"> General AI vendors / platforms </v>
      </c>
      <c r="X65" t="str">
        <f t="shared" si="15"/>
        <v xml:space="preserve"> 35.0% </v>
      </c>
      <c r="Y65" t="s">
        <v>73</v>
      </c>
      <c r="Z65" t="str">
        <f t="shared" si="16"/>
        <v xml:space="preserve"> General AI vendors / platforms </v>
      </c>
      <c r="AA65" t="str">
        <f t="shared" si="17"/>
        <v xml:space="preserve"> 40.0% </v>
      </c>
      <c r="AB65" t="s">
        <v>785</v>
      </c>
      <c r="AC65" t="str">
        <f t="shared" si="18"/>
        <v xml:space="preserve"> General AI vendors / platforms </v>
      </c>
      <c r="AD65" t="str">
        <f t="shared" si="19"/>
        <v xml:space="preserve"> 50.0% </v>
      </c>
      <c r="AF65" t="s">
        <v>445</v>
      </c>
      <c r="AG65" t="str">
        <f t="shared" si="20"/>
        <v xml:space="preserve"> General AI vendors / platforms </v>
      </c>
      <c r="AH65" t="str">
        <f t="shared" si="21"/>
        <v xml:space="preserve"> 41.0% </v>
      </c>
      <c r="AI65" t="s">
        <v>956</v>
      </c>
      <c r="AK65" t="str">
        <f t="shared" si="22"/>
        <v xml:space="preserve"> General AI vendors / platforms </v>
      </c>
      <c r="AL65" t="str">
        <f t="shared" si="23"/>
        <v xml:space="preserve"> 22.0% </v>
      </c>
      <c r="AM65" t="s">
        <v>68</v>
      </c>
      <c r="AN65" t="s">
        <v>0</v>
      </c>
      <c r="AO65" t="str">
        <f t="shared" si="24"/>
        <v xml:space="preserve"> 20.0% </v>
      </c>
      <c r="AP65" t="s">
        <v>988</v>
      </c>
      <c r="AQ65" t="str">
        <f t="shared" si="25"/>
        <v xml:space="preserve"> General AI vendors / platforms </v>
      </c>
      <c r="AR65" t="str">
        <f t="shared" si="26"/>
        <v xml:space="preserve"> 34.0% </v>
      </c>
      <c r="AS65" t="s">
        <v>1054</v>
      </c>
      <c r="AT65" t="str">
        <f t="shared" si="27"/>
        <v xml:space="preserve"> General AI vendors / platforms </v>
      </c>
      <c r="AU65" t="str">
        <f t="shared" si="28"/>
        <v xml:space="preserve"> 52.0% </v>
      </c>
      <c r="AV65" t="s">
        <v>1139</v>
      </c>
      <c r="AW65" t="str">
        <f t="shared" si="29"/>
        <v>General AI vendors / platforms</v>
      </c>
      <c r="AX65" t="str">
        <f t="shared" si="30"/>
        <v xml:space="preserve"> 50.0% </v>
      </c>
    </row>
    <row r="66" spans="1:50" x14ac:dyDescent="0.45">
      <c r="A66" t="s">
        <v>63</v>
      </c>
      <c r="B66" t="str">
        <f t="shared" si="0"/>
        <v xml:space="preserve"> Academic partnerships </v>
      </c>
      <c r="C66" t="str">
        <f t="shared" si="1"/>
        <v xml:space="preserve"> 10.0% </v>
      </c>
      <c r="D66" t="s">
        <v>231</v>
      </c>
      <c r="E66" t="str">
        <f t="shared" si="2"/>
        <v xml:space="preserve"> Academic partnerships </v>
      </c>
      <c r="F66" t="str">
        <f t="shared" si="3"/>
        <v xml:space="preserve"> 8.0% </v>
      </c>
      <c r="G66" t="s">
        <v>63</v>
      </c>
      <c r="H66" t="str">
        <f t="shared" si="4"/>
        <v xml:space="preserve"> Academic partnerships </v>
      </c>
      <c r="I66" t="str">
        <f t="shared" si="5"/>
        <v xml:space="preserve"> 10.0% </v>
      </c>
      <c r="J66" t="s">
        <v>63</v>
      </c>
      <c r="K66" t="str">
        <f t="shared" si="6"/>
        <v xml:space="preserve"> Academic partnerships </v>
      </c>
      <c r="L66" t="str">
        <f t="shared" si="7"/>
        <v xml:space="preserve"> 10.0% </v>
      </c>
      <c r="M66" t="s">
        <v>446</v>
      </c>
      <c r="N66" t="str">
        <f t="shared" si="8"/>
        <v xml:space="preserve"> Academic partnerships </v>
      </c>
      <c r="O66" t="str">
        <f t="shared" si="9"/>
        <v xml:space="preserve"> 6.0% </v>
      </c>
      <c r="P66" t="s">
        <v>231</v>
      </c>
      <c r="Q66" t="str">
        <f t="shared" si="10"/>
        <v xml:space="preserve"> Academic partnerships </v>
      </c>
      <c r="R66" t="str">
        <f t="shared" si="11"/>
        <v xml:space="preserve"> 8.0% </v>
      </c>
      <c r="S66" t="s">
        <v>231</v>
      </c>
      <c r="T66" t="str">
        <f t="shared" si="12"/>
        <v xml:space="preserve"> Academic partnerships </v>
      </c>
      <c r="U66" t="str">
        <f t="shared" si="13"/>
        <v xml:space="preserve"> 8.0% </v>
      </c>
      <c r="V66" t="s">
        <v>63</v>
      </c>
      <c r="W66" t="str">
        <f t="shared" si="14"/>
        <v xml:space="preserve"> Academic partnerships </v>
      </c>
      <c r="X66" t="str">
        <f t="shared" si="15"/>
        <v xml:space="preserve"> 10.0% </v>
      </c>
      <c r="Y66" t="s">
        <v>63</v>
      </c>
      <c r="Z66" t="str">
        <f t="shared" si="16"/>
        <v xml:space="preserve"> Academic partnerships </v>
      </c>
      <c r="AA66" t="str">
        <f t="shared" si="17"/>
        <v xml:space="preserve"> 10.0% </v>
      </c>
      <c r="AB66" t="s">
        <v>242</v>
      </c>
      <c r="AC66" t="str">
        <f t="shared" si="18"/>
        <v xml:space="preserve"> Academic partnerships </v>
      </c>
      <c r="AD66" t="str">
        <f t="shared" si="19"/>
        <v xml:space="preserve"> 12.0% </v>
      </c>
      <c r="AF66" t="s">
        <v>231</v>
      </c>
      <c r="AG66" t="str">
        <f t="shared" si="20"/>
        <v xml:space="preserve"> Academic partnerships </v>
      </c>
      <c r="AH66" t="str">
        <f t="shared" si="21"/>
        <v xml:space="preserve"> 8.0% </v>
      </c>
      <c r="AI66" t="s">
        <v>69</v>
      </c>
      <c r="AK66" t="str">
        <f t="shared" si="22"/>
        <v xml:space="preserve"> Academic partnerships </v>
      </c>
      <c r="AL66" t="str">
        <f t="shared" si="23"/>
        <v xml:space="preserve"> 5.0% </v>
      </c>
      <c r="AM66" t="s">
        <v>69</v>
      </c>
      <c r="AN66" t="s">
        <v>0</v>
      </c>
      <c r="AO66" t="str">
        <f t="shared" si="24"/>
        <v xml:space="preserve"> 5.0% </v>
      </c>
      <c r="AP66" t="s">
        <v>63</v>
      </c>
      <c r="AQ66" t="str">
        <f t="shared" si="25"/>
        <v xml:space="preserve"> Academic partnerships </v>
      </c>
      <c r="AR66" t="str">
        <f t="shared" si="26"/>
        <v xml:space="preserve"> 10.0% </v>
      </c>
      <c r="AS66" t="s">
        <v>231</v>
      </c>
      <c r="AT66" t="str">
        <f t="shared" si="27"/>
        <v xml:space="preserve"> Academic partnerships </v>
      </c>
      <c r="AU66" t="str">
        <f t="shared" si="28"/>
        <v xml:space="preserve"> 8.0% </v>
      </c>
      <c r="AV66" t="s">
        <v>1140</v>
      </c>
      <c r="AW66" t="str">
        <f t="shared" si="29"/>
        <v>Academic partnerships</v>
      </c>
      <c r="AX66" t="str">
        <f t="shared" si="30"/>
        <v xml:space="preserve"> 10.0% </v>
      </c>
    </row>
    <row r="67" spans="1:50" x14ac:dyDescent="0.45">
      <c r="A67" t="s">
        <v>64</v>
      </c>
      <c r="B67" t="str">
        <f t="shared" ref="B67:B130" si="31">IF(AND(LEFT(A67,1)="|",RIGHT(A67,1)="|",LEN(A67)-LEN(SUBSTITUTE(A67,"|",""))=3,LEN(TRIM(_xlfn.TEXTBEFORE(_xlfn.TEXTAFTER(A67,"|"),"|")))&gt;0,LEN(TRIM(_xlfn.TEXTBEFORE(_xlfn.TEXTAFTER(A67,"|",2),"|")))&gt;0),_xlfn.TEXTBEFORE(_xlfn.TEXTAFTER(A67,"|"),"|"),"")</f>
        <v xml:space="preserve"> System integrators / consultants </v>
      </c>
      <c r="C67" t="str">
        <f t="shared" ref="C67:C130" si="32">IF(AND(LEFT(A67,1)="|",RIGHT(A67,1)="|",LEN(A67)-LEN(SUBSTITUTE(A67,"|",""))=3,LEN(TRIM(_xlfn.TEXTBEFORE(_xlfn.TEXTAFTER(A67,"|"),"|")))&gt;0,LEN(TRIM(_xlfn.TEXTBEFORE(_xlfn.TEXTAFTER(A67,"|",2),"|")))&gt;0),_xlfn.TEXTBEFORE(_xlfn.TEXTAFTER(A67,"|",2),"|"),"")</f>
        <v xml:space="preserve"> 25.0% </v>
      </c>
      <c r="D67" t="s">
        <v>232</v>
      </c>
      <c r="E67" t="str">
        <f t="shared" ref="E67:E130" si="33">IF(AND(LEFT(D67,1)="|",RIGHT(D67,1)="|",LEN(D67)-LEN(SUBSTITUTE(D67,"|",""))=3,LEN(TRIM(_xlfn.TEXTBEFORE(_xlfn.TEXTAFTER(D67,"|"),"|")))&gt;0,LEN(TRIM(_xlfn.TEXTBEFORE(_xlfn.TEXTAFTER(D67,"|",2),"|")))&gt;0),_xlfn.TEXTBEFORE(_xlfn.TEXTAFTER(D67,"|"),"|"),"")</f>
        <v xml:space="preserve"> System integrators / consultants </v>
      </c>
      <c r="F67" t="str">
        <f t="shared" ref="F67:F130" si="34">IF(AND(LEFT(D67,1)="|",RIGHT(D67,1)="|",LEN(D67)-LEN(SUBSTITUTE(D67,"|",""))=3,LEN(TRIM(_xlfn.TEXTBEFORE(_xlfn.TEXTAFTER(D67,"|"),"|")))&gt;0,LEN(TRIM(_xlfn.TEXTBEFORE(_xlfn.TEXTAFTER(D67,"|",2),"|")))&gt;0),_xlfn.TEXTBEFORE(_xlfn.TEXTAFTER(D67,"|",2),"|"),"")</f>
        <v xml:space="preserve"> 28.0% </v>
      </c>
      <c r="G67" t="s">
        <v>75</v>
      </c>
      <c r="H67" t="str">
        <f t="shared" ref="H67:H130" si="35">IF(AND(LEFT(G67,1)="|",RIGHT(G67,1)="|",LEN(G67)-LEN(SUBSTITUTE(G67,"|",""))=3,LEN(TRIM(_xlfn.TEXTBEFORE(_xlfn.TEXTAFTER(G67,"|"),"|")))&gt;0,LEN(TRIM(_xlfn.TEXTBEFORE(_xlfn.TEXTAFTER(G67,"|",2),"|")))&gt;0),_xlfn.TEXTBEFORE(_xlfn.TEXTAFTER(G67,"|"),"|"),"")</f>
        <v xml:space="preserve"> System integrators / consultants </v>
      </c>
      <c r="I67" t="str">
        <f t="shared" ref="I67:I130" si="36">IF(AND(LEFT(G67,1)="|",RIGHT(G67,1)="|",LEN(G67)-LEN(SUBSTITUTE(G67,"|",""))=3,LEN(TRIM(_xlfn.TEXTBEFORE(_xlfn.TEXTAFTER(G67,"|"),"|")))&gt;0,LEN(TRIM(_xlfn.TEXTBEFORE(_xlfn.TEXTAFTER(G67,"|",2),"|")))&gt;0),_xlfn.TEXTBEFORE(_xlfn.TEXTAFTER(G67,"|",2),"|"),"")</f>
        <v xml:space="preserve"> 30.0% </v>
      </c>
      <c r="J67" t="s">
        <v>64</v>
      </c>
      <c r="K67" t="str">
        <f t="shared" ref="K67:K130" si="37">IF(AND(LEFT(J67,1)="|",RIGHT(J67,1)="|",LEN(J67)-LEN(SUBSTITUTE(J67,"|",""))=3,LEN(TRIM(_xlfn.TEXTBEFORE(_xlfn.TEXTAFTER(J67,"|"),"|")))&gt;0,LEN(TRIM(_xlfn.TEXTBEFORE(_xlfn.TEXTAFTER(J67,"|",2),"|")))&gt;0),_xlfn.TEXTBEFORE(_xlfn.TEXTAFTER(J67,"|"),"|"),"")</f>
        <v xml:space="preserve"> System integrators / consultants </v>
      </c>
      <c r="L67" t="str">
        <f t="shared" ref="L67:L130" si="38">IF(AND(LEFT(J67,1)="|",RIGHT(J67,1)="|",LEN(J67)-LEN(SUBSTITUTE(J67,"|",""))=3,LEN(TRIM(_xlfn.TEXTBEFORE(_xlfn.TEXTAFTER(J67,"|"),"|")))&gt;0,LEN(TRIM(_xlfn.TEXTBEFORE(_xlfn.TEXTAFTER(J67,"|",2),"|")))&gt;0),_xlfn.TEXTBEFORE(_xlfn.TEXTAFTER(J67,"|",2),"|"),"")</f>
        <v xml:space="preserve"> 25.0% </v>
      </c>
      <c r="M67" t="s">
        <v>447</v>
      </c>
      <c r="N67" t="str">
        <f t="shared" ref="N67:N130" si="39">IF(AND(LEFT(M67,1)="|",RIGHT(M67,1)="|",LEN(M67)-LEN(SUBSTITUTE(M67,"|",""))=3,LEN(TRIM(_xlfn.TEXTBEFORE(_xlfn.TEXTAFTER(M67,"|"),"|")))&gt;0,LEN(TRIM(_xlfn.TEXTBEFORE(_xlfn.TEXTAFTER(M67,"|",2),"|")))&gt;0),_xlfn.TEXTBEFORE(_xlfn.TEXTAFTER(M67,"|"),"|"),"")</f>
        <v xml:space="preserve"> System integrators / consultants </v>
      </c>
      <c r="O67" t="str">
        <f t="shared" ref="O67:O130" si="40">IF(AND(LEFT(M67,1)="|",RIGHT(M67,1)="|",LEN(M67)-LEN(SUBSTITUTE(M67,"|",""))=3,LEN(TRIM(_xlfn.TEXTBEFORE(_xlfn.TEXTAFTER(M67,"|"),"|")))&gt;0,LEN(TRIM(_xlfn.TEXTBEFORE(_xlfn.TEXTAFTER(M67,"|",2),"|")))&gt;0),_xlfn.TEXTBEFORE(_xlfn.TEXTAFTER(M67,"|",2),"|"),"")</f>
        <v xml:space="preserve"> 29.0% </v>
      </c>
      <c r="P67" t="s">
        <v>363</v>
      </c>
      <c r="Q67" t="str">
        <f t="shared" ref="Q67:Q130" si="41">IF(AND(LEFT(P67,1)="|",RIGHT(P67,1)="|",LEN(P67)-LEN(SUBSTITUTE(P67,"|",""))=3,LEN(TRIM(_xlfn.TEXTBEFORE(_xlfn.TEXTAFTER(P67,"|"),"|")))&gt;0,LEN(TRIM(_xlfn.TEXTBEFORE(_xlfn.TEXTAFTER(P67,"|",2),"|")))&gt;0),_xlfn.TEXTBEFORE(_xlfn.TEXTAFTER(P67,"|"),"|"),"")</f>
        <v xml:space="preserve"> System integrators / consultants </v>
      </c>
      <c r="R67" t="str">
        <f t="shared" ref="R67:R130" si="42">IF(AND(LEFT(P67,1)="|",RIGHT(P67,1)="|",LEN(P67)-LEN(SUBSTITUTE(P67,"|",""))=3,LEN(TRIM(_xlfn.TEXTBEFORE(_xlfn.TEXTAFTER(P67,"|"),"|")))&gt;0,LEN(TRIM(_xlfn.TEXTBEFORE(_xlfn.TEXTAFTER(P67,"|",2),"|")))&gt;0),_xlfn.TEXTBEFORE(_xlfn.TEXTAFTER(P67,"|",2),"|"),"")</f>
        <v xml:space="preserve"> 35.0% </v>
      </c>
      <c r="S67" t="s">
        <v>64</v>
      </c>
      <c r="T67" t="str">
        <f t="shared" ref="T67:T130" si="43">IF(AND(LEFT(S67,1)="|",RIGHT(S67,1)="|",LEN(S67)-LEN(SUBSTITUTE(S67,"|",""))=3,LEN(TRIM(_xlfn.TEXTBEFORE(_xlfn.TEXTAFTER(S67,"|"),"|")))&gt;0,LEN(TRIM(_xlfn.TEXTBEFORE(_xlfn.TEXTAFTER(S67,"|",2),"|")))&gt;0),_xlfn.TEXTBEFORE(_xlfn.TEXTAFTER(S67,"|"),"|"),"")</f>
        <v xml:space="preserve"> System integrators / consultants </v>
      </c>
      <c r="U67" t="str">
        <f t="shared" ref="U67:U130" si="44">IF(AND(LEFT(S67,1)="|",RIGHT(S67,1)="|",LEN(S67)-LEN(SUBSTITUTE(S67,"|",""))=3,LEN(TRIM(_xlfn.TEXTBEFORE(_xlfn.TEXTAFTER(S67,"|"),"|")))&gt;0,LEN(TRIM(_xlfn.TEXTBEFORE(_xlfn.TEXTAFTER(S67,"|",2),"|")))&gt;0),_xlfn.TEXTBEFORE(_xlfn.TEXTAFTER(S67,"|",2),"|"),"")</f>
        <v xml:space="preserve"> 25.0% </v>
      </c>
      <c r="V67" t="s">
        <v>64</v>
      </c>
      <c r="W67" t="str">
        <f t="shared" ref="W67:W130" si="45">IF(AND(LEFT(V67,1)="|",RIGHT(V67,1)="|",LEN(V67)-LEN(SUBSTITUTE(V67,"|",""))=3,LEN(TRIM(_xlfn.TEXTBEFORE(_xlfn.TEXTAFTER(V67,"|"),"|")))&gt;0,LEN(TRIM(_xlfn.TEXTBEFORE(_xlfn.TEXTAFTER(V67,"|",2),"|")))&gt;0),_xlfn.TEXTBEFORE(_xlfn.TEXTAFTER(V67,"|"),"|"),"")</f>
        <v xml:space="preserve"> System integrators / consultants </v>
      </c>
      <c r="X67" t="str">
        <f t="shared" ref="X67:X130" si="46">IF(AND(LEFT(V67,1)="|",RIGHT(V67,1)="|",LEN(V67)-LEN(SUBSTITUTE(V67,"|",""))=3,LEN(TRIM(_xlfn.TEXTBEFORE(_xlfn.TEXTAFTER(V67,"|"),"|")))&gt;0,LEN(TRIM(_xlfn.TEXTBEFORE(_xlfn.TEXTAFTER(V67,"|",2),"|")))&gt;0),_xlfn.TEXTBEFORE(_xlfn.TEXTAFTER(V67,"|",2),"|"),"")</f>
        <v xml:space="preserve"> 25.0% </v>
      </c>
      <c r="Y67" t="s">
        <v>363</v>
      </c>
      <c r="Z67" t="str">
        <f t="shared" ref="Z67:Z130" si="47">IF(AND(LEFT(Y67,1)="|",RIGHT(Y67,1)="|",LEN(Y67)-LEN(SUBSTITUTE(Y67,"|",""))=3,LEN(TRIM(_xlfn.TEXTBEFORE(_xlfn.TEXTAFTER(Y67,"|"),"|")))&gt;0,LEN(TRIM(_xlfn.TEXTBEFORE(_xlfn.TEXTAFTER(Y67,"|",2),"|")))&gt;0),_xlfn.TEXTBEFORE(_xlfn.TEXTAFTER(Y67,"|"),"|"),"")</f>
        <v xml:space="preserve"> System integrators / consultants </v>
      </c>
      <c r="AA67" t="str">
        <f t="shared" ref="AA67:AA130" si="48">IF(AND(LEFT(Y67,1)="|",RIGHT(Y67,1)="|",LEN(Y67)-LEN(SUBSTITUTE(Y67,"|",""))=3,LEN(TRIM(_xlfn.TEXTBEFORE(_xlfn.TEXTAFTER(Y67,"|"),"|")))&gt;0,LEN(TRIM(_xlfn.TEXTBEFORE(_xlfn.TEXTAFTER(Y67,"|",2),"|")))&gt;0),_xlfn.TEXTBEFORE(_xlfn.TEXTAFTER(Y67,"|",2),"|"),"")</f>
        <v xml:space="preserve"> 35.0% </v>
      </c>
      <c r="AB67" t="s">
        <v>822</v>
      </c>
      <c r="AC67" t="str">
        <f t="shared" ref="AC67:AC130" si="49">IF(AND(LEFT(AB67,1)="|",RIGHT(AB67,1)="|",LEN(AB67)-LEN(SUBSTITUTE(AB67,"|",""))=3,LEN(TRIM(_xlfn.TEXTBEFORE(_xlfn.TEXTAFTER(AB67,"|"),"|")))&gt;0,LEN(TRIM(_xlfn.TEXTBEFORE(_xlfn.TEXTAFTER(AB67,"|",2),"|")))&gt;0),_xlfn.TEXTBEFORE(_xlfn.TEXTAFTER(AB67,"|"),"|"),"")</f>
        <v xml:space="preserve"> System integrators / consultants </v>
      </c>
      <c r="AD67" t="str">
        <f t="shared" ref="AD67:AD130" si="50">IF(AND(LEFT(AB67,1)="|",RIGHT(AB67,1)="|",LEN(AB67)-LEN(SUBSTITUTE(AB67,"|",""))=3,LEN(TRIM(_xlfn.TEXTBEFORE(_xlfn.TEXTAFTER(AB67,"|"),"|")))&gt;0,LEN(TRIM(_xlfn.TEXTBEFORE(_xlfn.TEXTAFTER(AB67,"|",2),"|")))&gt;0),_xlfn.TEXTBEFORE(_xlfn.TEXTAFTER(AB67,"|",2),"|"),"")</f>
        <v xml:space="preserve"> 45.0% </v>
      </c>
      <c r="AF67" t="s">
        <v>232</v>
      </c>
      <c r="AG67" t="str">
        <f t="shared" ref="AG67:AG130" si="51">IF(AND(LEFT(AF67,1)="|",RIGHT(AF67,1)="|",LEN(AF67)-LEN(SUBSTITUTE(AF67,"|",""))=3,LEN(TRIM(_xlfn.TEXTBEFORE(_xlfn.TEXTAFTER(AF67,"|"),"|")))&gt;0,LEN(TRIM(_xlfn.TEXTBEFORE(_xlfn.TEXTAFTER(AF67,"|",2),"|")))&gt;0),_xlfn.TEXTBEFORE(_xlfn.TEXTAFTER(AF67,"|"),"|"),"")</f>
        <v xml:space="preserve"> System integrators / consultants </v>
      </c>
      <c r="AH67" t="str">
        <f t="shared" ref="AH67:AH130" si="52">IF(AND(LEFT(AF67,1)="|",RIGHT(AF67,1)="|",LEN(AF67)-LEN(SUBSTITUTE(AF67,"|",""))=3,LEN(TRIM(_xlfn.TEXTBEFORE(_xlfn.TEXTAFTER(AF67,"|"),"|")))&gt;0,LEN(TRIM(_xlfn.TEXTBEFORE(_xlfn.TEXTAFTER(AF67,"|",2),"|")))&gt;0),_xlfn.TEXTBEFORE(_xlfn.TEXTAFTER(AF67,"|",2),"|"),"")</f>
        <v xml:space="preserve"> 28.0% </v>
      </c>
      <c r="AI67" t="s">
        <v>75</v>
      </c>
      <c r="AK67" t="str">
        <f t="shared" ref="AK67:AK130" si="53">IF(AND(LEFT(AI67,1)="|",RIGHT(AI67,1)="|",LEN(AI67)-LEN(SUBSTITUTE(AI67,"|",""))=3,LEN(TRIM(_xlfn.TEXTBEFORE(_xlfn.TEXTAFTER(AI67,"|"),"|")))&gt;0,LEN(TRIM(_xlfn.TEXTBEFORE(_xlfn.TEXTAFTER(AI67,"|",2),"|")))&gt;0),_xlfn.TEXTBEFORE(_xlfn.TEXTAFTER(AI67,"|"),"|"),"")</f>
        <v xml:space="preserve"> System integrators / consultants </v>
      </c>
      <c r="AL67" t="str">
        <f t="shared" ref="AL67:AL130" si="54">IF(AND(LEFT(AI67,1)="|",RIGHT(AI67,1)="|",LEN(AI67)-LEN(SUBSTITUTE(AI67,"|",""))=3,LEN(TRIM(_xlfn.TEXTBEFORE(_xlfn.TEXTAFTER(AI67,"|"),"|")))&gt;0,LEN(TRIM(_xlfn.TEXTBEFORE(_xlfn.TEXTAFTER(AI67,"|",2),"|")))&gt;0),_xlfn.TEXTBEFORE(_xlfn.TEXTAFTER(AI67,"|",2),"|"),"")</f>
        <v xml:space="preserve"> 30.0% </v>
      </c>
      <c r="AM67" t="s">
        <v>64</v>
      </c>
      <c r="AN67" t="s">
        <v>0</v>
      </c>
      <c r="AO67" t="str">
        <f t="shared" ref="AO67:AO130" si="55">IF(AND(LEFT(AM67,1)="|",RIGHT(AM67,1)="|",LEN(AM67)-LEN(SUBSTITUTE(AM67,"|",""))=3,LEN(TRIM(_xlfn.TEXTBEFORE(_xlfn.TEXTAFTER(AM67,"|"),"|")))&gt;0,LEN(TRIM(_xlfn.TEXTBEFORE(_xlfn.TEXTAFTER(AM67,"|",2),"|")))&gt;0),_xlfn.TEXTBEFORE(_xlfn.TEXTAFTER(AM67,"|",2),"|"),"")</f>
        <v xml:space="preserve"> 25.0% </v>
      </c>
      <c r="AP67" t="s">
        <v>989</v>
      </c>
      <c r="AQ67" t="str">
        <f t="shared" ref="AQ67:AQ130" si="56">IF(AND(LEFT(AP67,1)="|",RIGHT(AP67,1)="|",LEN(AP67)-LEN(SUBSTITUTE(AP67,"|",""))=3,LEN(TRIM(_xlfn.TEXTBEFORE(_xlfn.TEXTAFTER(AP67,"|"),"|")))&gt;0,LEN(TRIM(_xlfn.TEXTBEFORE(_xlfn.TEXTAFTER(AP67,"|",2),"|")))&gt;0),_xlfn.TEXTBEFORE(_xlfn.TEXTAFTER(AP67,"|"),"|"),"")</f>
        <v xml:space="preserve"> System integrators / consultants </v>
      </c>
      <c r="AR67" t="str">
        <f t="shared" ref="AR67:AR130" si="57">IF(AND(LEFT(AP67,1)="|",RIGHT(AP67,1)="|",LEN(AP67)-LEN(SUBSTITUTE(AP67,"|",""))=3,LEN(TRIM(_xlfn.TEXTBEFORE(_xlfn.TEXTAFTER(AP67,"|"),"|")))&gt;0,LEN(TRIM(_xlfn.TEXTBEFORE(_xlfn.TEXTAFTER(AP67,"|",2),"|")))&gt;0),_xlfn.TEXTBEFORE(_xlfn.TEXTAFTER(AP67,"|",2),"|"),"")</f>
        <v xml:space="preserve"> 41.0% </v>
      </c>
      <c r="AS67" t="s">
        <v>75</v>
      </c>
      <c r="AT67" t="str">
        <f t="shared" ref="AT67:AT130" si="58">IF(AND(LEFT(AS67,1)="|",RIGHT(AS67,1)="|",LEN(AS67)-LEN(SUBSTITUTE(AS67,"|",""))=3,LEN(TRIM(_xlfn.TEXTBEFORE(_xlfn.TEXTAFTER(AS67,"|"),"|")))&gt;0,LEN(TRIM(_xlfn.TEXTBEFORE(_xlfn.TEXTAFTER(AS67,"|",2),"|")))&gt;0),_xlfn.TEXTBEFORE(_xlfn.TEXTAFTER(AS67,"|"),"|"),"")</f>
        <v xml:space="preserve"> System integrators / consultants </v>
      </c>
      <c r="AU67" t="str">
        <f t="shared" ref="AU67:AU130" si="59">IF(AND(LEFT(AS67,1)="|",RIGHT(AS67,1)="|",LEN(AS67)-LEN(SUBSTITUTE(AS67,"|",""))=3,LEN(TRIM(_xlfn.TEXTBEFORE(_xlfn.TEXTAFTER(AS67,"|"),"|")))&gt;0,LEN(TRIM(_xlfn.TEXTBEFORE(_xlfn.TEXTAFTER(AS67,"|",2),"|")))&gt;0),_xlfn.TEXTBEFORE(_xlfn.TEXTAFTER(AS67,"|",2),"|"),"")</f>
        <v xml:space="preserve"> 30.0% </v>
      </c>
      <c r="AV67" t="s">
        <v>1141</v>
      </c>
      <c r="AW67" t="str">
        <f t="shared" ref="AW67:AW130" si="60">IF(AND(LEFT(AV67,1)="|",RIGHT(AV67,1)="|",LEN(AV67)-LEN(SUBSTITUTE(AV67,"|",""))=3,LEN(TRIM(_xlfn.TEXTBEFORE(_xlfn.TEXTAFTER(AV67,"|"),"|")))&gt;0,LEN(TRIM(_xlfn.TEXTBEFORE(_xlfn.TEXTAFTER(AV67,"|",2),"|")))&gt;0),_xlfn.TEXTBEFORE(_xlfn.TEXTAFTER(AV67,"|"),"|"),"")</f>
        <v>System integrators / consultants</v>
      </c>
      <c r="AX67" t="str">
        <f t="shared" ref="AX67:AX130" si="61">IF(AND(LEFT(AV67,1)="|",RIGHT(AV67,1)="|",LEN(AV67)-LEN(SUBSTITUTE(AV67,"|",""))=3,LEN(TRIM(_xlfn.TEXTBEFORE(_xlfn.TEXTAFTER(AV67,"|"),"|")))&gt;0,LEN(TRIM(_xlfn.TEXTBEFORE(_xlfn.TEXTAFTER(AV67,"|",2),"|")))&gt;0),_xlfn.TEXTBEFORE(_xlfn.TEXTAFTER(AV67,"|",2),"|"),"")</f>
        <v xml:space="preserve"> 20.0% </v>
      </c>
    </row>
    <row r="68" spans="1:50" x14ac:dyDescent="0.45">
      <c r="A68" t="s">
        <v>65</v>
      </c>
      <c r="B68" t="str">
        <f t="shared" si="31"/>
        <v xml:space="preserve"> Other </v>
      </c>
      <c r="C68" t="str">
        <f t="shared" si="32"/>
        <v xml:space="preserve"> 2.0% </v>
      </c>
      <c r="D68" t="s">
        <v>233</v>
      </c>
      <c r="E68" t="str">
        <f t="shared" si="33"/>
        <v xml:space="preserve"> Other </v>
      </c>
      <c r="F68" t="str">
        <f t="shared" si="34"/>
        <v xml:space="preserve"> 6.0% </v>
      </c>
      <c r="G68" t="s">
        <v>275</v>
      </c>
      <c r="H68" t="str">
        <f t="shared" si="35"/>
        <v xml:space="preserve"> Other </v>
      </c>
      <c r="I68" t="str">
        <f t="shared" si="36"/>
        <v xml:space="preserve"> 8.0% </v>
      </c>
      <c r="J68" t="s">
        <v>76</v>
      </c>
      <c r="K68" t="str">
        <f t="shared" si="37"/>
        <v xml:space="preserve"> Other </v>
      </c>
      <c r="L68" t="str">
        <f t="shared" si="38"/>
        <v xml:space="preserve"> 5.0% </v>
      </c>
      <c r="M68" t="s">
        <v>76</v>
      </c>
      <c r="N68" t="str">
        <f t="shared" si="39"/>
        <v xml:space="preserve"> Other </v>
      </c>
      <c r="O68" t="str">
        <f t="shared" si="40"/>
        <v xml:space="preserve"> 5.0% </v>
      </c>
      <c r="P68" t="s">
        <v>76</v>
      </c>
      <c r="Q68" t="str">
        <f t="shared" si="41"/>
        <v xml:space="preserve"> Other </v>
      </c>
      <c r="R68" t="str">
        <f t="shared" si="42"/>
        <v xml:space="preserve"> 5.0% </v>
      </c>
      <c r="S68" t="s">
        <v>76</v>
      </c>
      <c r="T68" t="str">
        <f t="shared" si="43"/>
        <v xml:space="preserve"> Other </v>
      </c>
      <c r="U68" t="str">
        <f t="shared" si="44"/>
        <v xml:space="preserve"> 5.0% </v>
      </c>
      <c r="V68" t="s">
        <v>39</v>
      </c>
      <c r="W68" t="str">
        <f t="shared" si="45"/>
        <v xml:space="preserve"> Other </v>
      </c>
      <c r="X68" t="str">
        <f t="shared" si="46"/>
        <v xml:space="preserve"> 15.0% </v>
      </c>
      <c r="Y68" t="s">
        <v>76</v>
      </c>
      <c r="Z68" t="str">
        <f t="shared" si="47"/>
        <v xml:space="preserve"> Other </v>
      </c>
      <c r="AA68" t="str">
        <f t="shared" si="48"/>
        <v xml:space="preserve"> 5.0% </v>
      </c>
      <c r="AB68" t="s">
        <v>275</v>
      </c>
      <c r="AC68" t="str">
        <f t="shared" si="49"/>
        <v xml:space="preserve"> Other </v>
      </c>
      <c r="AD68" t="str">
        <f t="shared" si="50"/>
        <v xml:space="preserve"> 8.0% </v>
      </c>
      <c r="AF68" t="s">
        <v>76</v>
      </c>
      <c r="AG68" t="str">
        <f t="shared" si="51"/>
        <v xml:space="preserve"> Other </v>
      </c>
      <c r="AH68" t="str">
        <f t="shared" si="52"/>
        <v xml:space="preserve"> 5.0% </v>
      </c>
      <c r="AI68" t="s">
        <v>297</v>
      </c>
      <c r="AK68" t="str">
        <f t="shared" si="53"/>
        <v xml:space="preserve"> Other </v>
      </c>
      <c r="AL68" t="str">
        <f t="shared" si="54"/>
        <v xml:space="preserve"> 4.0% </v>
      </c>
      <c r="AM68" t="s">
        <v>65</v>
      </c>
      <c r="AN68" t="s">
        <v>0</v>
      </c>
      <c r="AO68" t="str">
        <f t="shared" si="55"/>
        <v xml:space="preserve"> 2.0% </v>
      </c>
      <c r="AP68" t="s">
        <v>275</v>
      </c>
      <c r="AQ68" t="str">
        <f t="shared" si="56"/>
        <v xml:space="preserve"> Other </v>
      </c>
      <c r="AR68" t="str">
        <f t="shared" si="57"/>
        <v xml:space="preserve"> 8.0% </v>
      </c>
      <c r="AS68" t="s">
        <v>76</v>
      </c>
      <c r="AT68" t="str">
        <f t="shared" si="58"/>
        <v xml:space="preserve"> Other </v>
      </c>
      <c r="AU68" t="str">
        <f t="shared" si="59"/>
        <v xml:space="preserve"> 5.0% </v>
      </c>
      <c r="AV68" t="s">
        <v>1142</v>
      </c>
      <c r="AW68" t="str">
        <f t="shared" si="60"/>
        <v>Other</v>
      </c>
      <c r="AX68" t="str">
        <f t="shared" si="61"/>
        <v xml:space="preserve"> 8.0% </v>
      </c>
    </row>
    <row r="69" spans="1:50" x14ac:dyDescent="0.45">
      <c r="A69" t="s">
        <v>47</v>
      </c>
      <c r="B69" t="str">
        <f t="shared" si="31"/>
        <v/>
      </c>
      <c r="C69" t="str">
        <f t="shared" si="32"/>
        <v/>
      </c>
      <c r="D69" t="s">
        <v>216</v>
      </c>
      <c r="E69" t="str">
        <f t="shared" si="33"/>
        <v/>
      </c>
      <c r="F69" t="str">
        <f t="shared" si="34"/>
        <v/>
      </c>
      <c r="G69" t="s">
        <v>47</v>
      </c>
      <c r="H69" t="str">
        <f t="shared" si="35"/>
        <v/>
      </c>
      <c r="I69" t="str">
        <f t="shared" si="36"/>
        <v/>
      </c>
      <c r="J69" t="s">
        <v>47</v>
      </c>
      <c r="K69" t="str">
        <f t="shared" si="37"/>
        <v/>
      </c>
      <c r="L69" t="str">
        <f t="shared" si="38"/>
        <v/>
      </c>
      <c r="M69" t="s">
        <v>47</v>
      </c>
      <c r="N69" t="str">
        <f t="shared" si="39"/>
        <v/>
      </c>
      <c r="O69" t="str">
        <f t="shared" si="40"/>
        <v/>
      </c>
      <c r="P69" t="s">
        <v>47</v>
      </c>
      <c r="Q69" t="str">
        <f t="shared" si="41"/>
        <v/>
      </c>
      <c r="R69" t="str">
        <f t="shared" si="42"/>
        <v/>
      </c>
      <c r="S69" t="s">
        <v>47</v>
      </c>
      <c r="T69" t="str">
        <f t="shared" si="43"/>
        <v/>
      </c>
      <c r="U69" t="str">
        <f t="shared" si="44"/>
        <v/>
      </c>
      <c r="V69" t="s">
        <v>47</v>
      </c>
      <c r="W69" t="str">
        <f t="shared" si="45"/>
        <v/>
      </c>
      <c r="X69" t="str">
        <f t="shared" si="46"/>
        <v/>
      </c>
      <c r="Y69" t="s">
        <v>47</v>
      </c>
      <c r="Z69" t="str">
        <f t="shared" si="47"/>
        <v/>
      </c>
      <c r="AA69" t="str">
        <f t="shared" si="48"/>
        <v/>
      </c>
      <c r="AB69" t="s">
        <v>47</v>
      </c>
      <c r="AC69" t="str">
        <f t="shared" si="49"/>
        <v/>
      </c>
      <c r="AD69" t="str">
        <f t="shared" si="50"/>
        <v/>
      </c>
      <c r="AF69" t="s">
        <v>47</v>
      </c>
      <c r="AG69" t="str">
        <f t="shared" si="51"/>
        <v/>
      </c>
      <c r="AH69" t="str">
        <f t="shared" si="52"/>
        <v/>
      </c>
      <c r="AI69" t="s">
        <v>47</v>
      </c>
      <c r="AK69" t="str">
        <f t="shared" si="53"/>
        <v/>
      </c>
      <c r="AL69" t="str">
        <f t="shared" si="54"/>
        <v/>
      </c>
      <c r="AM69" t="s">
        <v>47</v>
      </c>
      <c r="AN69" t="s">
        <v>0</v>
      </c>
      <c r="AO69" t="str">
        <f t="shared" si="55"/>
        <v/>
      </c>
      <c r="AP69" t="s">
        <v>47</v>
      </c>
      <c r="AQ69" t="str">
        <f t="shared" si="56"/>
        <v/>
      </c>
      <c r="AR69" t="str">
        <f t="shared" si="57"/>
        <v/>
      </c>
      <c r="AS69" t="s">
        <v>47</v>
      </c>
      <c r="AT69" t="str">
        <f t="shared" si="58"/>
        <v/>
      </c>
      <c r="AU69" t="str">
        <f t="shared" si="59"/>
        <v/>
      </c>
      <c r="AV69" t="s">
        <v>1124</v>
      </c>
      <c r="AW69" t="str">
        <f t="shared" si="60"/>
        <v/>
      </c>
      <c r="AX69" t="str">
        <f t="shared" si="61"/>
        <v/>
      </c>
    </row>
    <row r="70" spans="1:50" x14ac:dyDescent="0.45">
      <c r="A70" t="s">
        <v>66</v>
      </c>
      <c r="B70" t="str">
        <f t="shared" si="31"/>
        <v xml:space="preserve"> Internally developed </v>
      </c>
      <c r="C70" t="str">
        <f t="shared" si="32"/>
        <v xml:space="preserve"> 35.0% </v>
      </c>
      <c r="D70" t="s">
        <v>234</v>
      </c>
      <c r="E70" t="str">
        <f t="shared" si="33"/>
        <v xml:space="preserve"> Internally developed </v>
      </c>
      <c r="F70" t="str">
        <f t="shared" si="34"/>
        <v xml:space="preserve"> 32.0% </v>
      </c>
      <c r="G70" t="s">
        <v>239</v>
      </c>
      <c r="H70" t="str">
        <f t="shared" si="35"/>
        <v xml:space="preserve"> Internally developed </v>
      </c>
      <c r="I70" t="str">
        <f t="shared" si="36"/>
        <v xml:space="preserve"> 30.0% </v>
      </c>
      <c r="J70" t="s">
        <v>66</v>
      </c>
      <c r="K70" t="str">
        <f t="shared" si="37"/>
        <v xml:space="preserve"> Internally developed </v>
      </c>
      <c r="L70" t="str">
        <f t="shared" si="38"/>
        <v xml:space="preserve"> 35.0% </v>
      </c>
      <c r="M70" t="s">
        <v>448</v>
      </c>
      <c r="N70" t="str">
        <f t="shared" si="39"/>
        <v xml:space="preserve"> Internally developed </v>
      </c>
      <c r="O70" t="str">
        <f t="shared" si="40"/>
        <v xml:space="preserve"> 42.0% </v>
      </c>
      <c r="P70" t="s">
        <v>71</v>
      </c>
      <c r="Q70" t="str">
        <f t="shared" si="41"/>
        <v xml:space="preserve"> Internally developed </v>
      </c>
      <c r="R70" t="str">
        <f t="shared" si="42"/>
        <v xml:space="preserve"> 40.0% </v>
      </c>
      <c r="S70" t="s">
        <v>60</v>
      </c>
      <c r="T70" t="str">
        <f t="shared" si="43"/>
        <v xml:space="preserve"> Internally developed </v>
      </c>
      <c r="U70" t="str">
        <f t="shared" si="44"/>
        <v xml:space="preserve"> 45.0% </v>
      </c>
      <c r="V70" t="s">
        <v>66</v>
      </c>
      <c r="W70" t="str">
        <f t="shared" si="45"/>
        <v xml:space="preserve"> Internally developed </v>
      </c>
      <c r="X70" t="str">
        <f t="shared" si="46"/>
        <v xml:space="preserve"> 35.0% </v>
      </c>
      <c r="Y70" t="s">
        <v>239</v>
      </c>
      <c r="Z70" t="str">
        <f t="shared" si="47"/>
        <v xml:space="preserve"> Internally developed </v>
      </c>
      <c r="AA70" t="str">
        <f t="shared" si="48"/>
        <v xml:space="preserve"> 30.0% </v>
      </c>
      <c r="AB70" t="s">
        <v>823</v>
      </c>
      <c r="AC70" t="str">
        <f t="shared" si="49"/>
        <v xml:space="preserve"> Internally developed </v>
      </c>
      <c r="AD70" t="str">
        <f t="shared" si="50"/>
        <v xml:space="preserve"> 50.0% </v>
      </c>
      <c r="AF70" t="s">
        <v>229</v>
      </c>
      <c r="AG70" t="str">
        <f t="shared" si="51"/>
        <v xml:space="preserve"> Internally developed </v>
      </c>
      <c r="AH70" t="str">
        <f t="shared" si="52"/>
        <v xml:space="preserve"> 38.0% </v>
      </c>
      <c r="AI70" t="s">
        <v>448</v>
      </c>
      <c r="AK70" t="str">
        <f t="shared" si="53"/>
        <v xml:space="preserve"> Internally developed </v>
      </c>
      <c r="AL70" t="str">
        <f t="shared" si="54"/>
        <v xml:space="preserve"> 42.0% </v>
      </c>
      <c r="AM70" t="s">
        <v>71</v>
      </c>
      <c r="AN70" t="s">
        <v>0</v>
      </c>
      <c r="AO70" t="str">
        <f t="shared" si="55"/>
        <v xml:space="preserve"> 40.0% </v>
      </c>
      <c r="AP70" t="s">
        <v>990</v>
      </c>
      <c r="AQ70" t="str">
        <f t="shared" si="56"/>
        <v xml:space="preserve"> Internally developed </v>
      </c>
      <c r="AR70" t="str">
        <f t="shared" si="57"/>
        <v xml:space="preserve"> 44.0% </v>
      </c>
      <c r="AS70" t="s">
        <v>66</v>
      </c>
      <c r="AT70" t="str">
        <f t="shared" si="58"/>
        <v xml:space="preserve"> Internally developed </v>
      </c>
      <c r="AU70" t="str">
        <f t="shared" si="59"/>
        <v xml:space="preserve"> 35.0% </v>
      </c>
      <c r="AV70" t="s">
        <v>1143</v>
      </c>
      <c r="AW70" t="str">
        <f t="shared" si="60"/>
        <v>Internally developed</v>
      </c>
      <c r="AX70" t="str">
        <f t="shared" si="61"/>
        <v xml:space="preserve"> 20.0% </v>
      </c>
    </row>
    <row r="71" spans="1:50" x14ac:dyDescent="0.45">
      <c r="A71" t="s">
        <v>67</v>
      </c>
      <c r="B71" t="str">
        <f t="shared" si="31"/>
        <v xml:space="preserve"> BA vendor solutions </v>
      </c>
      <c r="C71" t="str">
        <f t="shared" si="32"/>
        <v xml:space="preserve"> 80.0% </v>
      </c>
      <c r="D71" t="s">
        <v>235</v>
      </c>
      <c r="E71" t="str">
        <f t="shared" si="33"/>
        <v xml:space="preserve"> BA vendor solutions </v>
      </c>
      <c r="F71" t="str">
        <f t="shared" si="34"/>
        <v xml:space="preserve"> 58.0% </v>
      </c>
      <c r="G71" t="s">
        <v>557</v>
      </c>
      <c r="H71" t="str">
        <f t="shared" si="35"/>
        <v xml:space="preserve"> BA vendor solutions </v>
      </c>
      <c r="I71" t="str">
        <f t="shared" si="36"/>
        <v xml:space="preserve"> 60.0% </v>
      </c>
      <c r="J71" t="s">
        <v>359</v>
      </c>
      <c r="K71" t="str">
        <f t="shared" si="37"/>
        <v xml:space="preserve"> BA vendor solutions </v>
      </c>
      <c r="L71" t="str">
        <f t="shared" si="38"/>
        <v xml:space="preserve"> 55.0% </v>
      </c>
      <c r="M71" t="s">
        <v>449</v>
      </c>
      <c r="N71" t="str">
        <f t="shared" si="39"/>
        <v xml:space="preserve"> BA vendor solutions </v>
      </c>
      <c r="O71" t="str">
        <f t="shared" si="40"/>
        <v xml:space="preserve"> 61.0% </v>
      </c>
      <c r="P71" t="s">
        <v>557</v>
      </c>
      <c r="Q71" t="str">
        <f t="shared" si="41"/>
        <v xml:space="preserve"> BA vendor solutions </v>
      </c>
      <c r="R71" t="str">
        <f t="shared" si="42"/>
        <v xml:space="preserve"> 60.0% </v>
      </c>
      <c r="S71" t="s">
        <v>359</v>
      </c>
      <c r="T71" t="str">
        <f t="shared" si="43"/>
        <v xml:space="preserve"> BA vendor solutions </v>
      </c>
      <c r="U71" t="str">
        <f t="shared" si="44"/>
        <v xml:space="preserve"> 55.0% </v>
      </c>
      <c r="V71" t="s">
        <v>61</v>
      </c>
      <c r="W71" t="str">
        <f t="shared" si="45"/>
        <v xml:space="preserve"> BA vendor solutions </v>
      </c>
      <c r="X71" t="str">
        <f t="shared" si="46"/>
        <v xml:space="preserve"> 65.0% </v>
      </c>
      <c r="Y71" t="s">
        <v>361</v>
      </c>
      <c r="Z71" t="str">
        <f t="shared" si="47"/>
        <v xml:space="preserve"> BA vendor solutions </v>
      </c>
      <c r="AA71" t="str">
        <f t="shared" si="48"/>
        <v xml:space="preserve"> 40.0% </v>
      </c>
      <c r="AB71" t="s">
        <v>784</v>
      </c>
      <c r="AC71" t="str">
        <f t="shared" si="49"/>
        <v xml:space="preserve"> BA vendor solutions </v>
      </c>
      <c r="AD71" t="str">
        <f t="shared" si="50"/>
        <v xml:space="preserve"> 45.0% </v>
      </c>
      <c r="AF71" t="s">
        <v>235</v>
      </c>
      <c r="AG71" t="str">
        <f t="shared" si="51"/>
        <v xml:space="preserve"> BA vendor solutions </v>
      </c>
      <c r="AH71" t="str">
        <f t="shared" si="52"/>
        <v xml:space="preserve"> 58.0% </v>
      </c>
      <c r="AI71" t="s">
        <v>925</v>
      </c>
      <c r="AK71" t="str">
        <f t="shared" si="53"/>
        <v xml:space="preserve"> BA vendor solutions </v>
      </c>
      <c r="AL71" t="str">
        <f t="shared" si="54"/>
        <v xml:space="preserve"> 70.0% </v>
      </c>
      <c r="AM71" t="s">
        <v>925</v>
      </c>
      <c r="AN71" t="s">
        <v>0</v>
      </c>
      <c r="AO71" t="str">
        <f t="shared" si="55"/>
        <v xml:space="preserve"> 70.0% </v>
      </c>
      <c r="AP71" t="s">
        <v>361</v>
      </c>
      <c r="AQ71" t="str">
        <f t="shared" si="56"/>
        <v xml:space="preserve"> BA vendor solutions </v>
      </c>
      <c r="AR71" t="str">
        <f t="shared" si="57"/>
        <v xml:space="preserve"> 40.0% </v>
      </c>
      <c r="AS71" t="s">
        <v>361</v>
      </c>
      <c r="AT71" t="str">
        <f t="shared" si="58"/>
        <v xml:space="preserve"> BA vendor solutions </v>
      </c>
      <c r="AU71" t="str">
        <f t="shared" si="59"/>
        <v xml:space="preserve"> 40.0% </v>
      </c>
      <c r="AV71" t="s">
        <v>1144</v>
      </c>
      <c r="AW71" t="str">
        <f t="shared" si="60"/>
        <v>BA vendor solutions</v>
      </c>
      <c r="AX71" t="str">
        <f t="shared" si="61"/>
        <v xml:space="preserve"> 45.0% </v>
      </c>
    </row>
    <row r="72" spans="1:50" x14ac:dyDescent="0.45">
      <c r="A72" t="s">
        <v>68</v>
      </c>
      <c r="B72" t="str">
        <f t="shared" si="31"/>
        <v xml:space="preserve"> General AI vendors / platforms </v>
      </c>
      <c r="C72" t="str">
        <f t="shared" si="32"/>
        <v xml:space="preserve"> 20.0% </v>
      </c>
      <c r="D72" t="s">
        <v>236</v>
      </c>
      <c r="E72" t="str">
        <f t="shared" si="33"/>
        <v xml:space="preserve"> General AI vendors / platforms </v>
      </c>
      <c r="F72" t="str">
        <f t="shared" si="34"/>
        <v xml:space="preserve"> 28.0% </v>
      </c>
      <c r="G72" t="s">
        <v>360</v>
      </c>
      <c r="H72" t="str">
        <f t="shared" si="35"/>
        <v xml:space="preserve"> General AI vendors / platforms </v>
      </c>
      <c r="I72" t="str">
        <f t="shared" si="36"/>
        <v xml:space="preserve"> 35.0% </v>
      </c>
      <c r="J72" t="s">
        <v>360</v>
      </c>
      <c r="K72" t="str">
        <f t="shared" si="37"/>
        <v xml:space="preserve"> General AI vendors / platforms </v>
      </c>
      <c r="L72" t="str">
        <f t="shared" si="38"/>
        <v xml:space="preserve"> 35.0% </v>
      </c>
      <c r="M72" t="s">
        <v>450</v>
      </c>
      <c r="N72" t="str">
        <f t="shared" si="39"/>
        <v xml:space="preserve"> General AI vendors / platforms </v>
      </c>
      <c r="O72" t="str">
        <f t="shared" si="40"/>
        <v xml:space="preserve"> 38.0% </v>
      </c>
      <c r="P72" t="s">
        <v>236</v>
      </c>
      <c r="Q72" t="str">
        <f t="shared" si="41"/>
        <v xml:space="preserve"> General AI vendors / platforms </v>
      </c>
      <c r="R72" t="str">
        <f t="shared" si="42"/>
        <v xml:space="preserve"> 28.0% </v>
      </c>
      <c r="S72" t="s">
        <v>360</v>
      </c>
      <c r="T72" t="str">
        <f t="shared" si="43"/>
        <v xml:space="preserve"> General AI vendors / platforms </v>
      </c>
      <c r="U72" t="str">
        <f t="shared" si="44"/>
        <v xml:space="preserve"> 35.0% </v>
      </c>
      <c r="V72" t="s">
        <v>73</v>
      </c>
      <c r="W72" t="str">
        <f t="shared" si="45"/>
        <v xml:space="preserve"> General AI vendors / platforms </v>
      </c>
      <c r="X72" t="str">
        <f t="shared" si="46"/>
        <v xml:space="preserve"> 40.0% </v>
      </c>
      <c r="Y72" t="s">
        <v>785</v>
      </c>
      <c r="Z72" t="str">
        <f t="shared" si="47"/>
        <v xml:space="preserve"> General AI vendors / platforms </v>
      </c>
      <c r="AA72" t="str">
        <f t="shared" si="48"/>
        <v xml:space="preserve"> 50.0% </v>
      </c>
      <c r="AB72" t="s">
        <v>824</v>
      </c>
      <c r="AC72" t="str">
        <f t="shared" si="49"/>
        <v xml:space="preserve"> General AI vendors / platforms </v>
      </c>
      <c r="AD72" t="str">
        <f t="shared" si="50"/>
        <v xml:space="preserve"> 55.0% </v>
      </c>
      <c r="AF72" t="s">
        <v>859</v>
      </c>
      <c r="AG72" t="str">
        <f t="shared" si="51"/>
        <v xml:space="preserve"> General AI vendors / platforms </v>
      </c>
      <c r="AH72" t="str">
        <f t="shared" si="52"/>
        <v xml:space="preserve"> 46.0% </v>
      </c>
      <c r="AI72" t="s">
        <v>926</v>
      </c>
      <c r="AK72" t="str">
        <f t="shared" si="53"/>
        <v xml:space="preserve"> General AI vendors / platforms </v>
      </c>
      <c r="AL72" t="str">
        <f t="shared" si="54"/>
        <v xml:space="preserve"> 25.0% </v>
      </c>
      <c r="AM72" t="s">
        <v>926</v>
      </c>
      <c r="AN72" t="s">
        <v>0</v>
      </c>
      <c r="AO72" t="str">
        <f t="shared" si="55"/>
        <v xml:space="preserve"> 25.0% </v>
      </c>
      <c r="AP72" t="s">
        <v>241</v>
      </c>
      <c r="AQ72" t="str">
        <f t="shared" si="56"/>
        <v xml:space="preserve"> General AI vendors / platforms </v>
      </c>
      <c r="AR72" t="str">
        <f t="shared" si="57"/>
        <v xml:space="preserve"> 36.0% </v>
      </c>
      <c r="AS72" t="s">
        <v>785</v>
      </c>
      <c r="AT72" t="str">
        <f t="shared" si="58"/>
        <v xml:space="preserve"> General AI vendors / platforms </v>
      </c>
      <c r="AU72" t="str">
        <f t="shared" si="59"/>
        <v xml:space="preserve"> 50.0% </v>
      </c>
      <c r="AV72" t="s">
        <v>1145</v>
      </c>
      <c r="AW72" t="str">
        <f t="shared" si="60"/>
        <v>General AI vendors / platforms</v>
      </c>
      <c r="AX72" t="str">
        <f t="shared" si="61"/>
        <v xml:space="preserve"> 55.0% </v>
      </c>
    </row>
    <row r="73" spans="1:50" x14ac:dyDescent="0.45">
      <c r="A73" t="s">
        <v>69</v>
      </c>
      <c r="B73" t="str">
        <f t="shared" si="31"/>
        <v xml:space="preserve"> Academic partnerships </v>
      </c>
      <c r="C73" t="str">
        <f t="shared" si="32"/>
        <v xml:space="preserve"> 5.0% </v>
      </c>
      <c r="D73" t="s">
        <v>237</v>
      </c>
      <c r="E73" t="str">
        <f t="shared" si="33"/>
        <v xml:space="preserve"> Academic partnerships </v>
      </c>
      <c r="F73" t="str">
        <f t="shared" si="34"/>
        <v xml:space="preserve"> 7.0% </v>
      </c>
      <c r="G73" t="s">
        <v>231</v>
      </c>
      <c r="H73" t="str">
        <f t="shared" si="35"/>
        <v xml:space="preserve"> Academic partnerships </v>
      </c>
      <c r="I73" t="str">
        <f t="shared" si="36"/>
        <v xml:space="preserve"> 8.0% </v>
      </c>
      <c r="J73" t="s">
        <v>74</v>
      </c>
      <c r="K73" t="str">
        <f t="shared" si="37"/>
        <v xml:space="preserve"> Academic partnerships </v>
      </c>
      <c r="L73" t="str">
        <f t="shared" si="38"/>
        <v xml:space="preserve"> 15.0% </v>
      </c>
      <c r="M73" t="s">
        <v>69</v>
      </c>
      <c r="N73" t="str">
        <f t="shared" si="39"/>
        <v xml:space="preserve"> Academic partnerships </v>
      </c>
      <c r="O73" t="str">
        <f t="shared" si="40"/>
        <v xml:space="preserve"> 5.0% </v>
      </c>
      <c r="P73" t="s">
        <v>69</v>
      </c>
      <c r="Q73" t="str">
        <f t="shared" si="41"/>
        <v xml:space="preserve"> Academic partnerships </v>
      </c>
      <c r="R73" t="str">
        <f t="shared" si="42"/>
        <v xml:space="preserve"> 5.0% </v>
      </c>
      <c r="S73" t="s">
        <v>63</v>
      </c>
      <c r="T73" t="str">
        <f t="shared" si="43"/>
        <v xml:space="preserve"> Academic partnerships </v>
      </c>
      <c r="U73" t="str">
        <f t="shared" si="44"/>
        <v xml:space="preserve"> 10.0% </v>
      </c>
      <c r="V73" t="s">
        <v>74</v>
      </c>
      <c r="W73" t="str">
        <f t="shared" si="45"/>
        <v xml:space="preserve"> Academic partnerships </v>
      </c>
      <c r="X73" t="str">
        <f t="shared" si="46"/>
        <v xml:space="preserve"> 15.0% </v>
      </c>
      <c r="Y73" t="s">
        <v>231</v>
      </c>
      <c r="Z73" t="str">
        <f t="shared" si="47"/>
        <v xml:space="preserve"> Academic partnerships </v>
      </c>
      <c r="AA73" t="str">
        <f t="shared" si="48"/>
        <v xml:space="preserve"> 8.0% </v>
      </c>
      <c r="AB73" t="s">
        <v>825</v>
      </c>
      <c r="AC73" t="str">
        <f t="shared" si="49"/>
        <v xml:space="preserve"> Academic partnerships </v>
      </c>
      <c r="AD73" t="str">
        <f t="shared" si="50"/>
        <v xml:space="preserve"> 18.0% </v>
      </c>
      <c r="AF73" t="s">
        <v>63</v>
      </c>
      <c r="AG73" t="str">
        <f t="shared" si="51"/>
        <v xml:space="preserve"> Academic partnerships </v>
      </c>
      <c r="AH73" t="str">
        <f t="shared" si="52"/>
        <v xml:space="preserve"> 10.0% </v>
      </c>
      <c r="AI73" t="s">
        <v>446</v>
      </c>
      <c r="AK73" t="str">
        <f t="shared" si="53"/>
        <v xml:space="preserve"> Academic partnerships </v>
      </c>
      <c r="AL73" t="str">
        <f t="shared" si="54"/>
        <v xml:space="preserve"> 6.0% </v>
      </c>
      <c r="AM73" t="s">
        <v>63</v>
      </c>
      <c r="AN73" t="s">
        <v>0</v>
      </c>
      <c r="AO73" t="str">
        <f t="shared" si="55"/>
        <v xml:space="preserve"> 10.0% </v>
      </c>
      <c r="AP73" t="s">
        <v>991</v>
      </c>
      <c r="AQ73" t="str">
        <f t="shared" si="56"/>
        <v xml:space="preserve"> Academic partnerships </v>
      </c>
      <c r="AR73" t="str">
        <f t="shared" si="57"/>
        <v xml:space="preserve"> 9.0% </v>
      </c>
      <c r="AS73" t="s">
        <v>446</v>
      </c>
      <c r="AT73" t="str">
        <f t="shared" si="58"/>
        <v xml:space="preserve"> Academic partnerships </v>
      </c>
      <c r="AU73" t="str">
        <f t="shared" si="59"/>
        <v xml:space="preserve"> 6.0% </v>
      </c>
      <c r="AV73" t="s">
        <v>1146</v>
      </c>
      <c r="AW73" t="str">
        <f t="shared" si="60"/>
        <v>Academic partnerships</v>
      </c>
      <c r="AX73" t="str">
        <f t="shared" si="61"/>
        <v xml:space="preserve"> 8.0% </v>
      </c>
    </row>
    <row r="74" spans="1:50" x14ac:dyDescent="0.45">
      <c r="A74" t="s">
        <v>70</v>
      </c>
      <c r="B74" t="str">
        <f t="shared" si="31"/>
        <v xml:space="preserve"> System integrators / consultants </v>
      </c>
      <c r="C74" t="str">
        <f t="shared" si="32"/>
        <v xml:space="preserve"> 20.0% </v>
      </c>
      <c r="D74" t="s">
        <v>238</v>
      </c>
      <c r="E74" t="str">
        <f t="shared" si="33"/>
        <v xml:space="preserve"> System integrators / consultants </v>
      </c>
      <c r="F74" t="str">
        <f t="shared" si="34"/>
        <v xml:space="preserve"> 24.0% </v>
      </c>
      <c r="G74" t="s">
        <v>232</v>
      </c>
      <c r="H74" t="str">
        <f t="shared" si="35"/>
        <v xml:space="preserve"> System integrators / consultants </v>
      </c>
      <c r="I74" t="str">
        <f t="shared" si="36"/>
        <v xml:space="preserve"> 28.0% </v>
      </c>
      <c r="J74" t="s">
        <v>75</v>
      </c>
      <c r="K74" t="str">
        <f t="shared" si="37"/>
        <v xml:space="preserve"> System integrators / consultants </v>
      </c>
      <c r="L74" t="str">
        <f t="shared" si="38"/>
        <v xml:space="preserve"> 30.0% </v>
      </c>
      <c r="M74" t="s">
        <v>238</v>
      </c>
      <c r="N74" t="str">
        <f t="shared" si="39"/>
        <v xml:space="preserve"> System integrators / consultants </v>
      </c>
      <c r="O74" t="str">
        <f t="shared" si="40"/>
        <v xml:space="preserve"> 24.0% </v>
      </c>
      <c r="P74" t="s">
        <v>620</v>
      </c>
      <c r="Q74" t="str">
        <f t="shared" si="41"/>
        <v xml:space="preserve"> System integrators / consultants </v>
      </c>
      <c r="R74" t="str">
        <f t="shared" si="42"/>
        <v xml:space="preserve"> 38.0% </v>
      </c>
      <c r="S74" t="s">
        <v>70</v>
      </c>
      <c r="T74" t="str">
        <f t="shared" si="43"/>
        <v xml:space="preserve"> System integrators / consultants </v>
      </c>
      <c r="U74" t="str">
        <f t="shared" si="44"/>
        <v xml:space="preserve"> 20.0% </v>
      </c>
      <c r="V74" t="s">
        <v>70</v>
      </c>
      <c r="W74" t="str">
        <f t="shared" si="45"/>
        <v xml:space="preserve"> System integrators / consultants </v>
      </c>
      <c r="X74" t="str">
        <f t="shared" si="46"/>
        <v xml:space="preserve"> 20.0% </v>
      </c>
      <c r="Y74" t="s">
        <v>75</v>
      </c>
      <c r="Z74" t="str">
        <f t="shared" si="47"/>
        <v xml:space="preserve"> System integrators / consultants </v>
      </c>
      <c r="AA74" t="str">
        <f t="shared" si="48"/>
        <v xml:space="preserve"> 30.0% </v>
      </c>
      <c r="AB74" t="s">
        <v>826</v>
      </c>
      <c r="AC74" t="str">
        <f t="shared" si="49"/>
        <v xml:space="preserve"> System integrators / consultants </v>
      </c>
      <c r="AD74" t="str">
        <f t="shared" si="50"/>
        <v xml:space="preserve"> 50.0% </v>
      </c>
      <c r="AF74" t="s">
        <v>243</v>
      </c>
      <c r="AG74" t="str">
        <f t="shared" si="51"/>
        <v xml:space="preserve"> System integrators / consultants </v>
      </c>
      <c r="AH74" t="str">
        <f t="shared" si="52"/>
        <v xml:space="preserve"> 32.0% </v>
      </c>
      <c r="AI74" t="s">
        <v>232</v>
      </c>
      <c r="AK74" t="str">
        <f t="shared" si="53"/>
        <v xml:space="preserve"> System integrators / consultants </v>
      </c>
      <c r="AL74" t="str">
        <f t="shared" si="54"/>
        <v xml:space="preserve"> 28.0% </v>
      </c>
      <c r="AM74" t="s">
        <v>75</v>
      </c>
      <c r="AN74" t="s">
        <v>0</v>
      </c>
      <c r="AO74" t="str">
        <f t="shared" si="55"/>
        <v xml:space="preserve"> 30.0% </v>
      </c>
      <c r="AP74" t="s">
        <v>620</v>
      </c>
      <c r="AQ74" t="str">
        <f t="shared" si="56"/>
        <v xml:space="preserve"> System integrators / consultants </v>
      </c>
      <c r="AR74" t="str">
        <f t="shared" si="57"/>
        <v xml:space="preserve"> 38.0% </v>
      </c>
      <c r="AS74" t="s">
        <v>1055</v>
      </c>
      <c r="AT74" t="str">
        <f t="shared" si="58"/>
        <v xml:space="preserve"> System integrators / consultants </v>
      </c>
      <c r="AU74" t="str">
        <f t="shared" si="59"/>
        <v xml:space="preserve"> 34.0% </v>
      </c>
      <c r="AV74" t="s">
        <v>1147</v>
      </c>
      <c r="AW74" t="str">
        <f t="shared" si="60"/>
        <v>System integrators / consultants</v>
      </c>
      <c r="AX74" t="str">
        <f t="shared" si="61"/>
        <v xml:space="preserve"> 25.0% </v>
      </c>
    </row>
    <row r="75" spans="1:50" x14ac:dyDescent="0.45">
      <c r="A75" t="s">
        <v>65</v>
      </c>
      <c r="B75" t="str">
        <f t="shared" si="31"/>
        <v xml:space="preserve"> Other </v>
      </c>
      <c r="C75" t="str">
        <f t="shared" si="32"/>
        <v xml:space="preserve"> 2.0% </v>
      </c>
      <c r="D75" t="s">
        <v>76</v>
      </c>
      <c r="E75" t="str">
        <f t="shared" si="33"/>
        <v xml:space="preserve"> Other </v>
      </c>
      <c r="F75" t="str">
        <f t="shared" si="34"/>
        <v xml:space="preserve"> 5.0% </v>
      </c>
      <c r="G75" t="s">
        <v>255</v>
      </c>
      <c r="H75" t="str">
        <f t="shared" si="35"/>
        <v xml:space="preserve"> Other </v>
      </c>
      <c r="I75" t="str">
        <f t="shared" si="36"/>
        <v xml:space="preserve"> 7.0% </v>
      </c>
      <c r="J75" t="s">
        <v>76</v>
      </c>
      <c r="K75" t="str">
        <f t="shared" si="37"/>
        <v xml:space="preserve"> Other </v>
      </c>
      <c r="L75" t="str">
        <f t="shared" si="38"/>
        <v xml:space="preserve"> 5.0% </v>
      </c>
      <c r="M75" t="s">
        <v>297</v>
      </c>
      <c r="N75" t="str">
        <f t="shared" si="39"/>
        <v xml:space="preserve"> Other </v>
      </c>
      <c r="O75" t="str">
        <f t="shared" si="40"/>
        <v xml:space="preserve"> 4.0% </v>
      </c>
      <c r="P75" t="s">
        <v>297</v>
      </c>
      <c r="Q75" t="str">
        <f t="shared" si="41"/>
        <v xml:space="preserve"> Other </v>
      </c>
      <c r="R75" t="str">
        <f t="shared" si="42"/>
        <v xml:space="preserve"> 4.0% </v>
      </c>
      <c r="S75" t="s">
        <v>76</v>
      </c>
      <c r="T75" t="str">
        <f t="shared" si="43"/>
        <v xml:space="preserve"> Other </v>
      </c>
      <c r="U75" t="str">
        <f t="shared" si="44"/>
        <v xml:space="preserve"> 5.0% </v>
      </c>
      <c r="V75" t="s">
        <v>96</v>
      </c>
      <c r="W75" t="str">
        <f t="shared" si="45"/>
        <v xml:space="preserve"> Other </v>
      </c>
      <c r="X75" t="str">
        <f t="shared" si="46"/>
        <v xml:space="preserve"> 10.0% </v>
      </c>
      <c r="Y75" t="s">
        <v>76</v>
      </c>
      <c r="Z75" t="str">
        <f t="shared" si="47"/>
        <v xml:space="preserve"> Other </v>
      </c>
      <c r="AA75" t="str">
        <f t="shared" si="48"/>
        <v xml:space="preserve"> 5.0% </v>
      </c>
      <c r="AB75" t="s">
        <v>96</v>
      </c>
      <c r="AC75" t="str">
        <f t="shared" si="49"/>
        <v xml:space="preserve"> Other </v>
      </c>
      <c r="AD75" t="str">
        <f t="shared" si="50"/>
        <v xml:space="preserve"> 10.0% </v>
      </c>
      <c r="AF75" t="s">
        <v>233</v>
      </c>
      <c r="AG75" t="str">
        <f t="shared" si="51"/>
        <v xml:space="preserve"> Other </v>
      </c>
      <c r="AH75" t="str">
        <f t="shared" si="52"/>
        <v xml:space="preserve"> 6.0% </v>
      </c>
      <c r="AI75" t="s">
        <v>483</v>
      </c>
      <c r="AK75" t="str">
        <f t="shared" si="53"/>
        <v xml:space="preserve"> Other </v>
      </c>
      <c r="AL75" t="str">
        <f t="shared" si="54"/>
        <v xml:space="preserve"> 3.0% </v>
      </c>
      <c r="AM75" t="s">
        <v>65</v>
      </c>
      <c r="AN75" t="s">
        <v>0</v>
      </c>
      <c r="AO75" t="str">
        <f t="shared" si="55"/>
        <v xml:space="preserve"> 2.0% </v>
      </c>
      <c r="AP75" t="s">
        <v>255</v>
      </c>
      <c r="AQ75" t="str">
        <f t="shared" si="56"/>
        <v xml:space="preserve"> Other </v>
      </c>
      <c r="AR75" t="str">
        <f t="shared" si="57"/>
        <v xml:space="preserve"> 7.0% </v>
      </c>
      <c r="AS75" t="s">
        <v>233</v>
      </c>
      <c r="AT75" t="str">
        <f t="shared" si="58"/>
        <v xml:space="preserve"> Other </v>
      </c>
      <c r="AU75" t="str">
        <f t="shared" si="59"/>
        <v xml:space="preserve"> 6.0% </v>
      </c>
      <c r="AV75" t="s">
        <v>1148</v>
      </c>
      <c r="AW75" t="str">
        <f t="shared" si="60"/>
        <v>Other</v>
      </c>
      <c r="AX75" t="str">
        <f t="shared" si="61"/>
        <v xml:space="preserve"> 6.0% </v>
      </c>
    </row>
    <row r="76" spans="1:50" x14ac:dyDescent="0.45">
      <c r="A76" t="s">
        <v>53</v>
      </c>
      <c r="B76" t="str">
        <f t="shared" si="31"/>
        <v/>
      </c>
      <c r="C76" t="str">
        <f t="shared" si="32"/>
        <v/>
      </c>
      <c r="D76" t="s">
        <v>222</v>
      </c>
      <c r="E76" t="str">
        <f t="shared" si="33"/>
        <v/>
      </c>
      <c r="F76" t="str">
        <f t="shared" si="34"/>
        <v/>
      </c>
      <c r="G76" t="s">
        <v>53</v>
      </c>
      <c r="H76" t="str">
        <f t="shared" si="35"/>
        <v/>
      </c>
      <c r="I76" t="str">
        <f t="shared" si="36"/>
        <v/>
      </c>
      <c r="J76" t="s">
        <v>53</v>
      </c>
      <c r="K76" t="str">
        <f t="shared" si="37"/>
        <v/>
      </c>
      <c r="L76" t="str">
        <f t="shared" si="38"/>
        <v/>
      </c>
      <c r="M76" t="s">
        <v>53</v>
      </c>
      <c r="N76" t="str">
        <f t="shared" si="39"/>
        <v/>
      </c>
      <c r="O76" t="str">
        <f t="shared" si="40"/>
        <v/>
      </c>
      <c r="P76" t="s">
        <v>53</v>
      </c>
      <c r="Q76" t="str">
        <f t="shared" si="41"/>
        <v/>
      </c>
      <c r="R76" t="str">
        <f t="shared" si="42"/>
        <v/>
      </c>
      <c r="S76" t="s">
        <v>53</v>
      </c>
      <c r="T76" t="str">
        <f t="shared" si="43"/>
        <v/>
      </c>
      <c r="U76" t="str">
        <f t="shared" si="44"/>
        <v/>
      </c>
      <c r="V76" t="s">
        <v>53</v>
      </c>
      <c r="W76" t="str">
        <f t="shared" si="45"/>
        <v/>
      </c>
      <c r="X76" t="str">
        <f t="shared" si="46"/>
        <v/>
      </c>
      <c r="Y76" t="s">
        <v>53</v>
      </c>
      <c r="Z76" t="str">
        <f t="shared" si="47"/>
        <v/>
      </c>
      <c r="AA76" t="str">
        <f t="shared" si="48"/>
        <v/>
      </c>
      <c r="AB76" t="s">
        <v>53</v>
      </c>
      <c r="AC76" t="str">
        <f t="shared" si="49"/>
        <v/>
      </c>
      <c r="AD76" t="str">
        <f t="shared" si="50"/>
        <v/>
      </c>
      <c r="AF76" t="s">
        <v>53</v>
      </c>
      <c r="AG76" t="str">
        <f t="shared" si="51"/>
        <v/>
      </c>
      <c r="AH76" t="str">
        <f t="shared" si="52"/>
        <v/>
      </c>
      <c r="AI76" t="s">
        <v>53</v>
      </c>
      <c r="AK76" t="str">
        <f t="shared" si="53"/>
        <v/>
      </c>
      <c r="AL76" t="str">
        <f t="shared" si="54"/>
        <v/>
      </c>
      <c r="AM76" t="s">
        <v>53</v>
      </c>
      <c r="AN76" t="s">
        <v>0</v>
      </c>
      <c r="AO76" t="str">
        <f t="shared" si="55"/>
        <v/>
      </c>
      <c r="AP76" t="s">
        <v>53</v>
      </c>
      <c r="AQ76" t="str">
        <f t="shared" si="56"/>
        <v/>
      </c>
      <c r="AR76" t="str">
        <f t="shared" si="57"/>
        <v/>
      </c>
      <c r="AS76" t="s">
        <v>53</v>
      </c>
      <c r="AT76" t="str">
        <f t="shared" si="58"/>
        <v/>
      </c>
      <c r="AU76" t="str">
        <f t="shared" si="59"/>
        <v/>
      </c>
      <c r="AV76" t="s">
        <v>1130</v>
      </c>
      <c r="AW76" t="str">
        <f t="shared" si="60"/>
        <v/>
      </c>
      <c r="AX76" t="str">
        <f t="shared" si="61"/>
        <v/>
      </c>
    </row>
    <row r="77" spans="1:50" x14ac:dyDescent="0.45">
      <c r="A77" t="s">
        <v>71</v>
      </c>
      <c r="B77" t="str">
        <f t="shared" si="31"/>
        <v xml:space="preserve"> Internally developed </v>
      </c>
      <c r="C77" t="str">
        <f t="shared" si="32"/>
        <v xml:space="preserve"> 40.0% </v>
      </c>
      <c r="D77" t="s">
        <v>239</v>
      </c>
      <c r="E77" t="str">
        <f t="shared" si="33"/>
        <v xml:space="preserve"> Internally developed </v>
      </c>
      <c r="F77" t="str">
        <f t="shared" si="34"/>
        <v xml:space="preserve"> 30.0% </v>
      </c>
      <c r="G77" t="s">
        <v>558</v>
      </c>
      <c r="H77" t="str">
        <f t="shared" si="35"/>
        <v xml:space="preserve"> Internally developed </v>
      </c>
      <c r="I77" t="str">
        <f t="shared" si="36"/>
        <v xml:space="preserve"> 25.0% </v>
      </c>
      <c r="J77" t="s">
        <v>60</v>
      </c>
      <c r="K77" t="str">
        <f t="shared" si="37"/>
        <v xml:space="preserve"> Internally developed </v>
      </c>
      <c r="L77" t="str">
        <f t="shared" si="38"/>
        <v xml:space="preserve"> 45.0% </v>
      </c>
      <c r="M77" t="s">
        <v>451</v>
      </c>
      <c r="N77" t="str">
        <f t="shared" si="39"/>
        <v xml:space="preserve"> Internally developed </v>
      </c>
      <c r="O77" t="str">
        <f t="shared" si="40"/>
        <v xml:space="preserve"> 26.0% </v>
      </c>
      <c r="P77" t="s">
        <v>66</v>
      </c>
      <c r="Q77" t="str">
        <f t="shared" si="41"/>
        <v xml:space="preserve"> Internally developed </v>
      </c>
      <c r="R77" t="str">
        <f t="shared" si="42"/>
        <v xml:space="preserve"> 35.0% </v>
      </c>
      <c r="S77" t="s">
        <v>558</v>
      </c>
      <c r="T77" t="str">
        <f t="shared" si="43"/>
        <v xml:space="preserve"> Internally developed </v>
      </c>
      <c r="U77" t="str">
        <f t="shared" si="44"/>
        <v xml:space="preserve"> 25.0% </v>
      </c>
      <c r="V77" t="s">
        <v>239</v>
      </c>
      <c r="W77" t="str">
        <f t="shared" si="45"/>
        <v xml:space="preserve"> Internally developed </v>
      </c>
      <c r="X77" t="str">
        <f t="shared" si="46"/>
        <v xml:space="preserve"> 30.0% </v>
      </c>
      <c r="Y77" t="s">
        <v>786</v>
      </c>
      <c r="Z77" t="str">
        <f t="shared" si="47"/>
        <v xml:space="preserve"> Internally developed </v>
      </c>
      <c r="AA77" t="str">
        <f t="shared" si="48"/>
        <v xml:space="preserve"> 20.0% </v>
      </c>
      <c r="AB77" t="s">
        <v>66</v>
      </c>
      <c r="AC77" t="str">
        <f t="shared" si="49"/>
        <v xml:space="preserve"> Internally developed </v>
      </c>
      <c r="AD77" t="str">
        <f t="shared" si="50"/>
        <v xml:space="preserve"> 35.0% </v>
      </c>
      <c r="AF77" t="s">
        <v>451</v>
      </c>
      <c r="AG77" t="str">
        <f t="shared" si="51"/>
        <v xml:space="preserve"> Internally developed </v>
      </c>
      <c r="AH77" t="str">
        <f t="shared" si="52"/>
        <v xml:space="preserve"> 26.0% </v>
      </c>
      <c r="AI77" t="s">
        <v>558</v>
      </c>
      <c r="AK77" t="str">
        <f t="shared" si="53"/>
        <v xml:space="preserve"> Internally developed </v>
      </c>
      <c r="AL77" t="str">
        <f t="shared" si="54"/>
        <v xml:space="preserve"> 25.0% </v>
      </c>
      <c r="AM77" t="s">
        <v>66</v>
      </c>
      <c r="AN77" t="s">
        <v>0</v>
      </c>
      <c r="AO77" t="str">
        <f t="shared" si="55"/>
        <v xml:space="preserve"> 35.0% </v>
      </c>
      <c r="AP77" t="s">
        <v>992</v>
      </c>
      <c r="AQ77" t="str">
        <f t="shared" si="56"/>
        <v xml:space="preserve"> Internally developed </v>
      </c>
      <c r="AR77" t="str">
        <f t="shared" si="57"/>
        <v xml:space="preserve"> 28.0% </v>
      </c>
      <c r="AS77" t="s">
        <v>786</v>
      </c>
      <c r="AT77" t="str">
        <f t="shared" si="58"/>
        <v xml:space="preserve"> Internally developed </v>
      </c>
      <c r="AU77" t="str">
        <f t="shared" si="59"/>
        <v xml:space="preserve"> 20.0% </v>
      </c>
      <c r="AV77" t="s">
        <v>1149</v>
      </c>
      <c r="AW77" t="str">
        <f t="shared" si="60"/>
        <v>Internally developed</v>
      </c>
      <c r="AX77" t="str">
        <f t="shared" si="61"/>
        <v xml:space="preserve"> 18.0% </v>
      </c>
    </row>
    <row r="78" spans="1:50" x14ac:dyDescent="0.45">
      <c r="A78" t="s">
        <v>72</v>
      </c>
      <c r="B78" t="str">
        <f t="shared" si="31"/>
        <v xml:space="preserve"> BA vendor solutions </v>
      </c>
      <c r="C78" t="str">
        <f t="shared" si="32"/>
        <v xml:space="preserve"> 50.0% </v>
      </c>
      <c r="D78" t="s">
        <v>240</v>
      </c>
      <c r="E78" t="str">
        <f t="shared" si="33"/>
        <v xml:space="preserve"> BA vendor solutions </v>
      </c>
      <c r="F78" t="str">
        <f t="shared" si="34"/>
        <v xml:space="preserve"> 38.0% </v>
      </c>
      <c r="G78" t="s">
        <v>361</v>
      </c>
      <c r="H78" t="str">
        <f t="shared" si="35"/>
        <v xml:space="preserve"> BA vendor solutions </v>
      </c>
      <c r="I78" t="str">
        <f t="shared" si="36"/>
        <v xml:space="preserve"> 40.0% </v>
      </c>
      <c r="J78" t="s">
        <v>361</v>
      </c>
      <c r="K78" t="str">
        <f t="shared" si="37"/>
        <v xml:space="preserve"> BA vendor solutions </v>
      </c>
      <c r="L78" t="str">
        <f t="shared" si="38"/>
        <v xml:space="preserve"> 40.0% </v>
      </c>
      <c r="M78" t="s">
        <v>452</v>
      </c>
      <c r="N78" t="str">
        <f t="shared" si="39"/>
        <v xml:space="preserve"> BA vendor solutions </v>
      </c>
      <c r="O78" t="str">
        <f t="shared" si="40"/>
        <v xml:space="preserve"> 39.0% </v>
      </c>
      <c r="P78" t="s">
        <v>621</v>
      </c>
      <c r="Q78" t="str">
        <f t="shared" si="41"/>
        <v xml:space="preserve"> BA vendor solutions </v>
      </c>
      <c r="R78" t="str">
        <f t="shared" si="42"/>
        <v xml:space="preserve"> 42.0% </v>
      </c>
      <c r="S78" t="s">
        <v>361</v>
      </c>
      <c r="T78" t="str">
        <f t="shared" si="43"/>
        <v xml:space="preserve"> BA vendor solutions </v>
      </c>
      <c r="U78" t="str">
        <f t="shared" si="44"/>
        <v xml:space="preserve"> 40.0% </v>
      </c>
      <c r="V78" t="s">
        <v>72</v>
      </c>
      <c r="W78" t="str">
        <f t="shared" si="45"/>
        <v xml:space="preserve"> BA vendor solutions </v>
      </c>
      <c r="X78" t="str">
        <f t="shared" si="46"/>
        <v xml:space="preserve"> 50.0% </v>
      </c>
      <c r="Y78" t="s">
        <v>787</v>
      </c>
      <c r="Z78" t="str">
        <f t="shared" si="47"/>
        <v xml:space="preserve"> BA vendor solutions </v>
      </c>
      <c r="AA78" t="str">
        <f t="shared" si="48"/>
        <v xml:space="preserve"> 30.0% </v>
      </c>
      <c r="AB78" t="s">
        <v>787</v>
      </c>
      <c r="AC78" t="str">
        <f t="shared" si="49"/>
        <v xml:space="preserve"> BA vendor solutions </v>
      </c>
      <c r="AD78" t="str">
        <f t="shared" si="50"/>
        <v xml:space="preserve"> 30.0% </v>
      </c>
      <c r="AF78" t="s">
        <v>621</v>
      </c>
      <c r="AG78" t="str">
        <f t="shared" si="51"/>
        <v xml:space="preserve"> BA vendor solutions </v>
      </c>
      <c r="AH78" t="str">
        <f t="shared" si="52"/>
        <v xml:space="preserve"> 42.0% </v>
      </c>
      <c r="AI78" t="s">
        <v>361</v>
      </c>
      <c r="AK78" t="str">
        <f t="shared" si="53"/>
        <v xml:space="preserve"> BA vendor solutions </v>
      </c>
      <c r="AL78" t="str">
        <f t="shared" si="54"/>
        <v xml:space="preserve"> 40.0% </v>
      </c>
      <c r="AM78" t="s">
        <v>72</v>
      </c>
      <c r="AN78" t="s">
        <v>0</v>
      </c>
      <c r="AO78" t="str">
        <f t="shared" si="55"/>
        <v xml:space="preserve"> 50.0% </v>
      </c>
      <c r="AP78" t="s">
        <v>993</v>
      </c>
      <c r="AQ78" t="str">
        <f t="shared" si="56"/>
        <v xml:space="preserve"> BA vendor solutions </v>
      </c>
      <c r="AR78" t="str">
        <f t="shared" si="57"/>
        <v xml:space="preserve"> 33.0% </v>
      </c>
      <c r="AS78" t="s">
        <v>1056</v>
      </c>
      <c r="AT78" t="str">
        <f t="shared" si="58"/>
        <v xml:space="preserve"> BA vendor solutions </v>
      </c>
      <c r="AU78" t="str">
        <f t="shared" si="59"/>
        <v xml:space="preserve"> 25.0% </v>
      </c>
      <c r="AV78" t="s">
        <v>1150</v>
      </c>
      <c r="AW78" t="str">
        <f t="shared" si="60"/>
        <v>BA vendor solutions</v>
      </c>
      <c r="AX78" t="str">
        <f t="shared" si="61"/>
        <v xml:space="preserve"> 25.0% </v>
      </c>
    </row>
    <row r="79" spans="1:50" x14ac:dyDescent="0.45">
      <c r="A79" t="s">
        <v>73</v>
      </c>
      <c r="B79" t="str">
        <f t="shared" si="31"/>
        <v xml:space="preserve"> General AI vendors / platforms </v>
      </c>
      <c r="C79" t="str">
        <f t="shared" si="32"/>
        <v xml:space="preserve"> 40.0% </v>
      </c>
      <c r="D79" t="s">
        <v>241</v>
      </c>
      <c r="E79" t="str">
        <f t="shared" si="33"/>
        <v xml:space="preserve"> General AI vendors / platforms </v>
      </c>
      <c r="F79" t="str">
        <f t="shared" si="34"/>
        <v xml:space="preserve"> 36.0% </v>
      </c>
      <c r="G79" t="s">
        <v>559</v>
      </c>
      <c r="H79" t="str">
        <f t="shared" si="35"/>
        <v xml:space="preserve"> General AI vendors / platforms </v>
      </c>
      <c r="I79" t="str">
        <f t="shared" si="36"/>
        <v xml:space="preserve"> 45.0% </v>
      </c>
      <c r="J79" t="s">
        <v>73</v>
      </c>
      <c r="K79" t="str">
        <f t="shared" si="37"/>
        <v xml:space="preserve"> General AI vendors / platforms </v>
      </c>
      <c r="L79" t="str">
        <f t="shared" si="38"/>
        <v xml:space="preserve"> 40.0% </v>
      </c>
      <c r="M79" t="s">
        <v>453</v>
      </c>
      <c r="N79" t="str">
        <f t="shared" si="39"/>
        <v xml:space="preserve"> General AI vendors / platforms </v>
      </c>
      <c r="O79" t="str">
        <f t="shared" si="40"/>
        <v xml:space="preserve"> 37.0% </v>
      </c>
      <c r="P79" t="s">
        <v>450</v>
      </c>
      <c r="Q79" t="str">
        <f t="shared" si="41"/>
        <v xml:space="preserve"> General AI vendors / platforms </v>
      </c>
      <c r="R79" t="str">
        <f t="shared" si="42"/>
        <v xml:space="preserve"> 38.0% </v>
      </c>
      <c r="S79" t="s">
        <v>559</v>
      </c>
      <c r="T79" t="str">
        <f t="shared" si="43"/>
        <v xml:space="preserve"> General AI vendors / platforms </v>
      </c>
      <c r="U79" t="str">
        <f t="shared" si="44"/>
        <v xml:space="preserve"> 45.0% </v>
      </c>
      <c r="V79" t="s">
        <v>62</v>
      </c>
      <c r="W79" t="str">
        <f t="shared" si="45"/>
        <v xml:space="preserve"> General AI vendors / platforms </v>
      </c>
      <c r="X79" t="str">
        <f t="shared" si="46"/>
        <v xml:space="preserve"> 30.0% </v>
      </c>
      <c r="Y79" t="s">
        <v>360</v>
      </c>
      <c r="Z79" t="str">
        <f t="shared" si="47"/>
        <v xml:space="preserve"> General AI vendors / platforms </v>
      </c>
      <c r="AA79" t="str">
        <f t="shared" si="48"/>
        <v xml:space="preserve"> 35.0% </v>
      </c>
      <c r="AB79" t="s">
        <v>827</v>
      </c>
      <c r="AC79" t="str">
        <f t="shared" si="49"/>
        <v xml:space="preserve"> General AI vendors / platforms </v>
      </c>
      <c r="AD79" t="str">
        <f t="shared" si="50"/>
        <v xml:space="preserve"> 60.0% </v>
      </c>
      <c r="AF79" t="s">
        <v>450</v>
      </c>
      <c r="AG79" t="str">
        <f t="shared" si="51"/>
        <v xml:space="preserve"> General AI vendors / platforms </v>
      </c>
      <c r="AH79" t="str">
        <f t="shared" si="52"/>
        <v xml:space="preserve"> 38.0% </v>
      </c>
      <c r="AI79" t="s">
        <v>360</v>
      </c>
      <c r="AK79" t="str">
        <f t="shared" si="53"/>
        <v xml:space="preserve"> General AI vendors / platforms </v>
      </c>
      <c r="AL79" t="str">
        <f t="shared" si="54"/>
        <v xml:space="preserve"> 35.0% </v>
      </c>
      <c r="AM79" t="s">
        <v>62</v>
      </c>
      <c r="AN79" t="s">
        <v>0</v>
      </c>
      <c r="AO79" t="str">
        <f t="shared" si="55"/>
        <v xml:space="preserve"> 30.0% </v>
      </c>
      <c r="AP79" t="s">
        <v>453</v>
      </c>
      <c r="AQ79" t="str">
        <f t="shared" si="56"/>
        <v xml:space="preserve"> General AI vendors / platforms </v>
      </c>
      <c r="AR79" t="str">
        <f t="shared" si="57"/>
        <v xml:space="preserve"> 37.0% </v>
      </c>
      <c r="AS79" t="s">
        <v>73</v>
      </c>
      <c r="AT79" t="str">
        <f t="shared" si="58"/>
        <v xml:space="preserve"> General AI vendors / platforms </v>
      </c>
      <c r="AU79" t="str">
        <f t="shared" si="59"/>
        <v xml:space="preserve"> 40.0% </v>
      </c>
      <c r="AV79" t="s">
        <v>1151</v>
      </c>
      <c r="AW79" t="str">
        <f t="shared" si="60"/>
        <v>General AI vendors / platforms</v>
      </c>
      <c r="AX79" t="str">
        <f t="shared" si="61"/>
        <v xml:space="preserve"> 40.0% </v>
      </c>
    </row>
    <row r="80" spans="1:50" x14ac:dyDescent="0.45">
      <c r="A80" t="s">
        <v>74</v>
      </c>
      <c r="B80" t="str">
        <f t="shared" si="31"/>
        <v xml:space="preserve"> Academic partnerships </v>
      </c>
      <c r="C80" t="str">
        <f t="shared" si="32"/>
        <v xml:space="preserve"> 15.0% </v>
      </c>
      <c r="D80" t="s">
        <v>242</v>
      </c>
      <c r="E80" t="str">
        <f t="shared" si="33"/>
        <v xml:space="preserve"> Academic partnerships </v>
      </c>
      <c r="F80" t="str">
        <f t="shared" si="34"/>
        <v xml:space="preserve"> 12.0% </v>
      </c>
      <c r="G80" t="s">
        <v>242</v>
      </c>
      <c r="H80" t="str">
        <f t="shared" si="35"/>
        <v xml:space="preserve"> Academic partnerships </v>
      </c>
      <c r="I80" t="str">
        <f t="shared" si="36"/>
        <v xml:space="preserve"> 12.0% </v>
      </c>
      <c r="J80" t="s">
        <v>362</v>
      </c>
      <c r="K80" t="str">
        <f t="shared" si="37"/>
        <v xml:space="preserve"> Academic partnerships </v>
      </c>
      <c r="L80" t="str">
        <f t="shared" si="38"/>
        <v xml:space="preserve"> 20.0% </v>
      </c>
      <c r="M80" t="s">
        <v>231</v>
      </c>
      <c r="N80" t="str">
        <f t="shared" si="39"/>
        <v xml:space="preserve"> Academic partnerships </v>
      </c>
      <c r="O80" t="str">
        <f t="shared" si="40"/>
        <v xml:space="preserve"> 8.0% </v>
      </c>
      <c r="P80" t="s">
        <v>63</v>
      </c>
      <c r="Q80" t="str">
        <f t="shared" si="41"/>
        <v xml:space="preserve"> Academic partnerships </v>
      </c>
      <c r="R80" t="str">
        <f t="shared" si="42"/>
        <v xml:space="preserve"> 10.0% </v>
      </c>
      <c r="S80" t="s">
        <v>242</v>
      </c>
      <c r="T80" t="str">
        <f t="shared" si="43"/>
        <v xml:space="preserve"> Academic partnerships </v>
      </c>
      <c r="U80" t="str">
        <f t="shared" si="44"/>
        <v xml:space="preserve"> 12.0% </v>
      </c>
      <c r="V80" t="s">
        <v>69</v>
      </c>
      <c r="W80" t="str">
        <f t="shared" si="45"/>
        <v xml:space="preserve"> Academic partnerships </v>
      </c>
      <c r="X80" t="str">
        <f t="shared" si="46"/>
        <v xml:space="preserve"> 5.0% </v>
      </c>
      <c r="Y80" t="s">
        <v>74</v>
      </c>
      <c r="Z80" t="str">
        <f t="shared" si="47"/>
        <v xml:space="preserve"> Academic partnerships </v>
      </c>
      <c r="AA80" t="str">
        <f t="shared" si="48"/>
        <v xml:space="preserve"> 15.0% </v>
      </c>
      <c r="AB80" t="s">
        <v>362</v>
      </c>
      <c r="AC80" t="str">
        <f t="shared" si="49"/>
        <v xml:space="preserve"> Academic partnerships </v>
      </c>
      <c r="AD80" t="str">
        <f t="shared" si="50"/>
        <v xml:space="preserve"> 20.0% </v>
      </c>
      <c r="AF80" t="s">
        <v>446</v>
      </c>
      <c r="AG80" t="str">
        <f t="shared" si="51"/>
        <v xml:space="preserve"> Academic partnerships </v>
      </c>
      <c r="AH80" t="str">
        <f t="shared" si="52"/>
        <v xml:space="preserve"> 6.0% </v>
      </c>
      <c r="AI80" t="s">
        <v>957</v>
      </c>
      <c r="AK80" t="str">
        <f t="shared" si="53"/>
        <v xml:space="preserve"> Academic partnerships </v>
      </c>
      <c r="AL80" t="str">
        <f t="shared" si="54"/>
        <v xml:space="preserve"> 4.0% </v>
      </c>
      <c r="AM80" t="s">
        <v>63</v>
      </c>
      <c r="AN80" t="s">
        <v>0</v>
      </c>
      <c r="AO80" t="str">
        <f t="shared" si="55"/>
        <v xml:space="preserve"> 10.0% </v>
      </c>
      <c r="AP80" t="s">
        <v>237</v>
      </c>
      <c r="AQ80" t="str">
        <f t="shared" si="56"/>
        <v xml:space="preserve"> Academic partnerships </v>
      </c>
      <c r="AR80" t="str">
        <f t="shared" si="57"/>
        <v xml:space="preserve"> 7.0% </v>
      </c>
      <c r="AS80" t="s">
        <v>63</v>
      </c>
      <c r="AT80" t="str">
        <f t="shared" si="58"/>
        <v xml:space="preserve"> Academic partnerships </v>
      </c>
      <c r="AU80" t="str">
        <f t="shared" si="59"/>
        <v xml:space="preserve"> 10.0% </v>
      </c>
      <c r="AV80" t="s">
        <v>1152</v>
      </c>
      <c r="AW80" t="str">
        <f t="shared" si="60"/>
        <v>Academic partnerships</v>
      </c>
      <c r="AX80" t="str">
        <f t="shared" si="61"/>
        <v xml:space="preserve"> 12.0% </v>
      </c>
    </row>
    <row r="81" spans="1:50" x14ac:dyDescent="0.45">
      <c r="A81" t="s">
        <v>75</v>
      </c>
      <c r="B81" t="str">
        <f t="shared" si="31"/>
        <v xml:space="preserve"> System integrators / consultants </v>
      </c>
      <c r="C81" t="str">
        <f t="shared" si="32"/>
        <v xml:space="preserve"> 30.0% </v>
      </c>
      <c r="D81" t="s">
        <v>243</v>
      </c>
      <c r="E81" t="str">
        <f t="shared" si="33"/>
        <v xml:space="preserve"> System integrators / consultants </v>
      </c>
      <c r="F81" t="str">
        <f t="shared" si="34"/>
        <v xml:space="preserve"> 32.0% </v>
      </c>
      <c r="G81" t="s">
        <v>363</v>
      </c>
      <c r="H81" t="str">
        <f t="shared" si="35"/>
        <v xml:space="preserve"> System integrators / consultants </v>
      </c>
      <c r="I81" t="str">
        <f t="shared" si="36"/>
        <v xml:space="preserve"> 35.0% </v>
      </c>
      <c r="J81" t="s">
        <v>363</v>
      </c>
      <c r="K81" t="str">
        <f t="shared" si="37"/>
        <v xml:space="preserve"> System integrators / consultants </v>
      </c>
      <c r="L81" t="str">
        <f t="shared" si="38"/>
        <v xml:space="preserve"> 35.0% </v>
      </c>
      <c r="M81" t="s">
        <v>454</v>
      </c>
      <c r="N81" t="str">
        <f t="shared" si="39"/>
        <v xml:space="preserve"> System integrators / consultants </v>
      </c>
      <c r="O81" t="str">
        <f t="shared" si="40"/>
        <v xml:space="preserve"> 27.0% </v>
      </c>
      <c r="P81" t="s">
        <v>75</v>
      </c>
      <c r="Q81" t="str">
        <f t="shared" si="41"/>
        <v xml:space="preserve"> System integrators / consultants </v>
      </c>
      <c r="R81" t="str">
        <f t="shared" si="42"/>
        <v xml:space="preserve"> 30.0% </v>
      </c>
      <c r="S81" t="s">
        <v>363</v>
      </c>
      <c r="T81" t="str">
        <f t="shared" si="43"/>
        <v xml:space="preserve"> System integrators / consultants </v>
      </c>
      <c r="U81" t="str">
        <f t="shared" si="44"/>
        <v xml:space="preserve"> 35.0% </v>
      </c>
      <c r="V81" t="s">
        <v>75</v>
      </c>
      <c r="W81" t="str">
        <f t="shared" si="45"/>
        <v xml:space="preserve"> System integrators / consultants </v>
      </c>
      <c r="X81" t="str">
        <f t="shared" si="46"/>
        <v xml:space="preserve"> 30.0% </v>
      </c>
      <c r="Y81" t="s">
        <v>64</v>
      </c>
      <c r="Z81" t="str">
        <f t="shared" si="47"/>
        <v xml:space="preserve"> System integrators / consultants </v>
      </c>
      <c r="AA81" t="str">
        <f t="shared" si="48"/>
        <v xml:space="preserve"> 25.0% </v>
      </c>
      <c r="AB81" t="s">
        <v>828</v>
      </c>
      <c r="AC81" t="str">
        <f t="shared" si="49"/>
        <v xml:space="preserve"> System integrators / consultants </v>
      </c>
      <c r="AD81" t="str">
        <f t="shared" si="50"/>
        <v xml:space="preserve"> 40.0% </v>
      </c>
      <c r="AF81" t="s">
        <v>860</v>
      </c>
      <c r="AG81" t="str">
        <f t="shared" si="51"/>
        <v xml:space="preserve"> System integrators / consultants </v>
      </c>
      <c r="AH81" t="str">
        <f t="shared" si="52"/>
        <v xml:space="preserve"> 22.0% </v>
      </c>
      <c r="AI81" t="s">
        <v>64</v>
      </c>
      <c r="AK81" t="str">
        <f t="shared" si="53"/>
        <v xml:space="preserve"> System integrators / consultants </v>
      </c>
      <c r="AL81" t="str">
        <f t="shared" si="54"/>
        <v xml:space="preserve"> 25.0% </v>
      </c>
      <c r="AM81" t="s">
        <v>70</v>
      </c>
      <c r="AN81" t="s">
        <v>0</v>
      </c>
      <c r="AO81" t="str">
        <f t="shared" si="55"/>
        <v xml:space="preserve"> 20.0% </v>
      </c>
      <c r="AP81" t="s">
        <v>363</v>
      </c>
      <c r="AQ81" t="str">
        <f t="shared" si="56"/>
        <v xml:space="preserve"> System integrators / consultants </v>
      </c>
      <c r="AR81" t="str">
        <f t="shared" si="57"/>
        <v xml:space="preserve"> 35.0% </v>
      </c>
      <c r="AS81" t="s">
        <v>860</v>
      </c>
      <c r="AT81" t="str">
        <f t="shared" si="58"/>
        <v xml:space="preserve"> System integrators / consultants </v>
      </c>
      <c r="AU81" t="str">
        <f t="shared" si="59"/>
        <v xml:space="preserve"> 22.0% </v>
      </c>
      <c r="AV81" t="s">
        <v>1153</v>
      </c>
      <c r="AW81" t="str">
        <f t="shared" si="60"/>
        <v>System integrators / consultants</v>
      </c>
      <c r="AX81" t="str">
        <f t="shared" si="61"/>
        <v xml:space="preserve"> 15.0% </v>
      </c>
    </row>
    <row r="82" spans="1:50" x14ac:dyDescent="0.45">
      <c r="A82" t="s">
        <v>76</v>
      </c>
      <c r="B82" t="str">
        <f t="shared" si="31"/>
        <v xml:space="preserve"> Other </v>
      </c>
      <c r="C82" t="str">
        <f t="shared" si="32"/>
        <v xml:space="preserve"> 5.0% </v>
      </c>
      <c r="D82" t="s">
        <v>96</v>
      </c>
      <c r="E82" t="str">
        <f t="shared" si="33"/>
        <v xml:space="preserve"> Other </v>
      </c>
      <c r="F82" t="str">
        <f t="shared" si="34"/>
        <v xml:space="preserve"> 10.0% </v>
      </c>
      <c r="G82" t="s">
        <v>560</v>
      </c>
      <c r="H82" t="str">
        <f t="shared" si="35"/>
        <v xml:space="preserve"> Other </v>
      </c>
      <c r="I82" t="str">
        <f t="shared" si="36"/>
        <v xml:space="preserve"> 12.0% </v>
      </c>
      <c r="J82" t="s">
        <v>96</v>
      </c>
      <c r="K82" t="str">
        <f t="shared" si="37"/>
        <v xml:space="preserve"> Other </v>
      </c>
      <c r="L82" t="str">
        <f t="shared" si="38"/>
        <v xml:space="preserve"> 10.0% </v>
      </c>
      <c r="M82" t="s">
        <v>255</v>
      </c>
      <c r="N82" t="str">
        <f t="shared" si="39"/>
        <v xml:space="preserve"> Other </v>
      </c>
      <c r="O82" t="str">
        <f t="shared" si="40"/>
        <v xml:space="preserve"> 7.0% </v>
      </c>
      <c r="P82" t="s">
        <v>275</v>
      </c>
      <c r="Q82" t="str">
        <f t="shared" si="41"/>
        <v xml:space="preserve"> Other </v>
      </c>
      <c r="R82" t="str">
        <f t="shared" si="42"/>
        <v xml:space="preserve"> 8.0% </v>
      </c>
      <c r="S82" t="s">
        <v>96</v>
      </c>
      <c r="T82" t="str">
        <f t="shared" si="43"/>
        <v xml:space="preserve"> Other </v>
      </c>
      <c r="U82" t="str">
        <f t="shared" si="44"/>
        <v xml:space="preserve"> 10.0% </v>
      </c>
      <c r="V82" t="s">
        <v>352</v>
      </c>
      <c r="W82" t="str">
        <f t="shared" si="45"/>
        <v xml:space="preserve"> Other </v>
      </c>
      <c r="X82" t="str">
        <f t="shared" si="46"/>
        <v xml:space="preserve"> 20.0% </v>
      </c>
      <c r="Y82" t="s">
        <v>96</v>
      </c>
      <c r="Z82" t="str">
        <f t="shared" si="47"/>
        <v xml:space="preserve"> Other </v>
      </c>
      <c r="AA82" t="str">
        <f t="shared" si="48"/>
        <v xml:space="preserve"> 10.0% </v>
      </c>
      <c r="AB82" t="s">
        <v>39</v>
      </c>
      <c r="AC82" t="str">
        <f t="shared" si="49"/>
        <v xml:space="preserve"> Other </v>
      </c>
      <c r="AD82" t="str">
        <f t="shared" si="50"/>
        <v xml:space="preserve"> 15.0% </v>
      </c>
      <c r="AF82" t="s">
        <v>275</v>
      </c>
      <c r="AG82" t="str">
        <f t="shared" si="51"/>
        <v xml:space="preserve"> Other </v>
      </c>
      <c r="AH82" t="str">
        <f t="shared" si="52"/>
        <v xml:space="preserve"> 8.0% </v>
      </c>
      <c r="AI82" t="s">
        <v>275</v>
      </c>
      <c r="AK82" t="str">
        <f t="shared" si="53"/>
        <v xml:space="preserve"> Other </v>
      </c>
      <c r="AL82" t="str">
        <f t="shared" si="54"/>
        <v xml:space="preserve"> 8.0% </v>
      </c>
      <c r="AM82" t="s">
        <v>76</v>
      </c>
      <c r="AN82" t="s">
        <v>0</v>
      </c>
      <c r="AO82" t="str">
        <f t="shared" si="55"/>
        <v xml:space="preserve"> 5.0% </v>
      </c>
      <c r="AP82" t="s">
        <v>560</v>
      </c>
      <c r="AQ82" t="str">
        <f t="shared" si="56"/>
        <v xml:space="preserve"> Other </v>
      </c>
      <c r="AR82" t="str">
        <f t="shared" si="57"/>
        <v xml:space="preserve"> 12.0% </v>
      </c>
      <c r="AS82" t="s">
        <v>275</v>
      </c>
      <c r="AT82" t="str">
        <f t="shared" si="58"/>
        <v xml:space="preserve"> Other </v>
      </c>
      <c r="AU82" t="str">
        <f t="shared" si="59"/>
        <v xml:space="preserve"> 8.0% </v>
      </c>
      <c r="AV82" t="s">
        <v>1154</v>
      </c>
      <c r="AW82" t="str">
        <f t="shared" si="60"/>
        <v>Other</v>
      </c>
      <c r="AX82" t="str">
        <f t="shared" si="61"/>
        <v xml:space="preserve"> 10.0% </v>
      </c>
    </row>
    <row r="83" spans="1:50" x14ac:dyDescent="0.45">
      <c r="A83" t="s">
        <v>77</v>
      </c>
      <c r="B83" t="str">
        <f t="shared" si="31"/>
        <v/>
      </c>
      <c r="C83" t="str">
        <f t="shared" si="32"/>
        <v/>
      </c>
      <c r="D83" t="s">
        <v>244</v>
      </c>
      <c r="E83" t="str">
        <f t="shared" si="33"/>
        <v/>
      </c>
      <c r="F83" t="str">
        <f t="shared" si="34"/>
        <v/>
      </c>
      <c r="G83" t="s">
        <v>77</v>
      </c>
      <c r="H83" t="str">
        <f t="shared" si="35"/>
        <v/>
      </c>
      <c r="I83" t="str">
        <f t="shared" si="36"/>
        <v/>
      </c>
      <c r="J83" t="s">
        <v>77</v>
      </c>
      <c r="K83" t="str">
        <f t="shared" si="37"/>
        <v/>
      </c>
      <c r="L83" t="str">
        <f t="shared" si="38"/>
        <v/>
      </c>
      <c r="M83" t="s">
        <v>77</v>
      </c>
      <c r="N83" t="str">
        <f t="shared" si="39"/>
        <v/>
      </c>
      <c r="O83" t="str">
        <f t="shared" si="40"/>
        <v/>
      </c>
      <c r="P83" t="s">
        <v>622</v>
      </c>
      <c r="Q83" t="str">
        <f t="shared" si="41"/>
        <v/>
      </c>
      <c r="R83" t="str">
        <f t="shared" si="42"/>
        <v/>
      </c>
      <c r="S83" t="s">
        <v>687</v>
      </c>
      <c r="T83" t="str">
        <f t="shared" si="43"/>
        <v/>
      </c>
      <c r="U83" t="str">
        <f t="shared" si="44"/>
        <v/>
      </c>
      <c r="V83" t="s">
        <v>687</v>
      </c>
      <c r="W83" t="str">
        <f t="shared" si="45"/>
        <v/>
      </c>
      <c r="X83" t="str">
        <f t="shared" si="46"/>
        <v/>
      </c>
      <c r="Y83" t="s">
        <v>77</v>
      </c>
      <c r="Z83" t="str">
        <f t="shared" si="47"/>
        <v/>
      </c>
      <c r="AA83" t="str">
        <f t="shared" si="48"/>
        <v/>
      </c>
      <c r="AB83" t="s">
        <v>77</v>
      </c>
      <c r="AC83" t="str">
        <f t="shared" si="49"/>
        <v/>
      </c>
      <c r="AD83" t="str">
        <f t="shared" si="50"/>
        <v/>
      </c>
      <c r="AF83" t="s">
        <v>77</v>
      </c>
      <c r="AG83" t="str">
        <f t="shared" si="51"/>
        <v/>
      </c>
      <c r="AH83" t="str">
        <f t="shared" si="52"/>
        <v/>
      </c>
      <c r="AI83" t="s">
        <v>77</v>
      </c>
      <c r="AK83" t="str">
        <f t="shared" si="53"/>
        <v/>
      </c>
      <c r="AL83" t="str">
        <f t="shared" si="54"/>
        <v/>
      </c>
      <c r="AM83" t="s">
        <v>77</v>
      </c>
      <c r="AN83" t="s">
        <v>0</v>
      </c>
      <c r="AO83" t="str">
        <f t="shared" si="55"/>
        <v/>
      </c>
      <c r="AP83" t="s">
        <v>77</v>
      </c>
      <c r="AQ83" t="str">
        <f t="shared" si="56"/>
        <v/>
      </c>
      <c r="AR83" t="str">
        <f t="shared" si="57"/>
        <v/>
      </c>
      <c r="AS83" t="s">
        <v>77</v>
      </c>
      <c r="AT83" t="str">
        <f t="shared" si="58"/>
        <v/>
      </c>
      <c r="AU83" t="str">
        <f t="shared" si="59"/>
        <v/>
      </c>
      <c r="AV83" t="s">
        <v>1155</v>
      </c>
      <c r="AW83" t="str">
        <f t="shared" si="60"/>
        <v/>
      </c>
      <c r="AX83" t="str">
        <f t="shared" si="61"/>
        <v/>
      </c>
    </row>
    <row r="84" spans="1:50" x14ac:dyDescent="0.45">
      <c r="A84" t="s">
        <v>41</v>
      </c>
      <c r="B84" t="str">
        <f t="shared" si="31"/>
        <v/>
      </c>
      <c r="C84" t="str">
        <f t="shared" si="32"/>
        <v/>
      </c>
      <c r="D84" t="s">
        <v>212</v>
      </c>
      <c r="E84" t="str">
        <f t="shared" si="33"/>
        <v/>
      </c>
      <c r="F84" t="str">
        <f t="shared" si="34"/>
        <v/>
      </c>
      <c r="G84" t="s">
        <v>41</v>
      </c>
      <c r="H84" t="str">
        <f t="shared" si="35"/>
        <v/>
      </c>
      <c r="I84" t="str">
        <f t="shared" si="36"/>
        <v/>
      </c>
      <c r="J84" t="s">
        <v>41</v>
      </c>
      <c r="K84" t="str">
        <f t="shared" si="37"/>
        <v/>
      </c>
      <c r="L84" t="str">
        <f t="shared" si="38"/>
        <v/>
      </c>
      <c r="M84" t="s">
        <v>41</v>
      </c>
      <c r="N84" t="str">
        <f t="shared" si="39"/>
        <v/>
      </c>
      <c r="O84" t="str">
        <f t="shared" si="40"/>
        <v/>
      </c>
      <c r="P84" t="s">
        <v>41</v>
      </c>
      <c r="Q84" t="str">
        <f t="shared" si="41"/>
        <v/>
      </c>
      <c r="R84" t="str">
        <f t="shared" si="42"/>
        <v/>
      </c>
      <c r="S84" t="s">
        <v>41</v>
      </c>
      <c r="T84" t="str">
        <f t="shared" si="43"/>
        <v/>
      </c>
      <c r="U84" t="str">
        <f t="shared" si="44"/>
        <v/>
      </c>
      <c r="V84" t="s">
        <v>41</v>
      </c>
      <c r="W84" t="str">
        <f t="shared" si="45"/>
        <v/>
      </c>
      <c r="X84" t="str">
        <f t="shared" si="46"/>
        <v/>
      </c>
      <c r="Y84" t="s">
        <v>41</v>
      </c>
      <c r="Z84" t="str">
        <f t="shared" si="47"/>
        <v/>
      </c>
      <c r="AA84" t="str">
        <f t="shared" si="48"/>
        <v/>
      </c>
      <c r="AB84" t="s">
        <v>41</v>
      </c>
      <c r="AC84" t="str">
        <f t="shared" si="49"/>
        <v/>
      </c>
      <c r="AD84" t="str">
        <f t="shared" si="50"/>
        <v/>
      </c>
      <c r="AF84" t="s">
        <v>41</v>
      </c>
      <c r="AG84" t="str">
        <f t="shared" si="51"/>
        <v/>
      </c>
      <c r="AH84" t="str">
        <f t="shared" si="52"/>
        <v/>
      </c>
      <c r="AI84" t="s">
        <v>41</v>
      </c>
      <c r="AK84" t="str">
        <f t="shared" si="53"/>
        <v/>
      </c>
      <c r="AL84" t="str">
        <f t="shared" si="54"/>
        <v/>
      </c>
      <c r="AM84" t="s">
        <v>41</v>
      </c>
      <c r="AN84" t="s">
        <v>0</v>
      </c>
      <c r="AO84" t="str">
        <f t="shared" si="55"/>
        <v/>
      </c>
      <c r="AP84" t="s">
        <v>41</v>
      </c>
      <c r="AQ84" t="str">
        <f t="shared" si="56"/>
        <v/>
      </c>
      <c r="AR84" t="str">
        <f t="shared" si="57"/>
        <v/>
      </c>
      <c r="AS84" t="s">
        <v>41</v>
      </c>
      <c r="AT84" t="str">
        <f t="shared" si="58"/>
        <v/>
      </c>
      <c r="AU84" t="str">
        <f t="shared" si="59"/>
        <v/>
      </c>
      <c r="AV84" t="s">
        <v>1118</v>
      </c>
      <c r="AW84" t="str">
        <f t="shared" si="60"/>
        <v/>
      </c>
      <c r="AX84" t="str">
        <f t="shared" si="61"/>
        <v/>
      </c>
    </row>
    <row r="85" spans="1:50" x14ac:dyDescent="0.45">
      <c r="A85" t="s">
        <v>78</v>
      </c>
      <c r="B85" t="str">
        <f t="shared" si="31"/>
        <v xml:space="preserve"> Revenue leakage detection </v>
      </c>
      <c r="C85" t="str">
        <f t="shared" si="32"/>
        <v xml:space="preserve"> 90.0% </v>
      </c>
      <c r="D85" t="s">
        <v>245</v>
      </c>
      <c r="E85" t="str">
        <f t="shared" si="33"/>
        <v xml:space="preserve"> Revenue leakage detection </v>
      </c>
      <c r="F85" t="str">
        <f t="shared" si="34"/>
        <v xml:space="preserve"> 78.0% </v>
      </c>
      <c r="G85" t="s">
        <v>561</v>
      </c>
      <c r="H85" t="str">
        <f t="shared" si="35"/>
        <v xml:space="preserve"> Revenue leakage detection </v>
      </c>
      <c r="I85" t="str">
        <f t="shared" si="36"/>
        <v xml:space="preserve"> 75.0% </v>
      </c>
      <c r="J85" t="s">
        <v>364</v>
      </c>
      <c r="K85" t="str">
        <f t="shared" si="37"/>
        <v xml:space="preserve"> Revenue leakage detection </v>
      </c>
      <c r="L85" t="str">
        <f t="shared" si="38"/>
        <v xml:space="preserve"> 70.0% </v>
      </c>
      <c r="M85" t="s">
        <v>455</v>
      </c>
      <c r="N85" t="str">
        <f t="shared" si="39"/>
        <v xml:space="preserve"> Revenue leakage detection </v>
      </c>
      <c r="O85" t="str">
        <f t="shared" si="40"/>
        <v xml:space="preserve"> 68.0% </v>
      </c>
      <c r="P85" t="s">
        <v>561</v>
      </c>
      <c r="Q85" t="str">
        <f t="shared" si="41"/>
        <v xml:space="preserve"> Revenue leakage detection </v>
      </c>
      <c r="R85" t="str">
        <f t="shared" si="42"/>
        <v xml:space="preserve"> 75.0% </v>
      </c>
      <c r="S85" t="s">
        <v>245</v>
      </c>
      <c r="T85" t="str">
        <f t="shared" si="43"/>
        <v xml:space="preserve"> Revenue leakage detection </v>
      </c>
      <c r="U85" t="str">
        <f t="shared" si="44"/>
        <v xml:space="preserve"> 78.0% </v>
      </c>
      <c r="V85" t="s">
        <v>78</v>
      </c>
      <c r="W85" t="str">
        <f t="shared" si="45"/>
        <v xml:space="preserve"> Revenue leakage detection </v>
      </c>
      <c r="X85" t="str">
        <f t="shared" si="46"/>
        <v xml:space="preserve"> 90.0% </v>
      </c>
      <c r="Y85" t="s">
        <v>364</v>
      </c>
      <c r="Z85" t="str">
        <f t="shared" si="47"/>
        <v xml:space="preserve"> Revenue leakage detection </v>
      </c>
      <c r="AA85" t="str">
        <f t="shared" si="48"/>
        <v xml:space="preserve"> 70.0% </v>
      </c>
      <c r="AB85" t="s">
        <v>364</v>
      </c>
      <c r="AC85" t="str">
        <f t="shared" si="49"/>
        <v xml:space="preserve"> Revenue leakage detection </v>
      </c>
      <c r="AD85" t="str">
        <f t="shared" si="50"/>
        <v xml:space="preserve"> 70.0% </v>
      </c>
      <c r="AF85" t="s">
        <v>861</v>
      </c>
      <c r="AG85" t="str">
        <f t="shared" si="51"/>
        <v xml:space="preserve"> Revenue leakage detection </v>
      </c>
      <c r="AH85" t="str">
        <f t="shared" si="52"/>
        <v xml:space="preserve"> 74.0% </v>
      </c>
      <c r="AI85" t="s">
        <v>958</v>
      </c>
      <c r="AK85" t="str">
        <f t="shared" si="53"/>
        <v xml:space="preserve"> Revenue leakage detection </v>
      </c>
      <c r="AL85" t="str">
        <f t="shared" si="54"/>
        <v xml:space="preserve"> 85.0% </v>
      </c>
      <c r="AM85" t="s">
        <v>78</v>
      </c>
      <c r="AN85" t="s">
        <v>0</v>
      </c>
      <c r="AO85" t="str">
        <f t="shared" si="55"/>
        <v xml:space="preserve"> 90.0% </v>
      </c>
      <c r="AP85" t="s">
        <v>994</v>
      </c>
      <c r="AQ85" t="str">
        <f t="shared" si="56"/>
        <v xml:space="preserve"> Revenue leakage detection </v>
      </c>
      <c r="AR85" t="str">
        <f t="shared" si="57"/>
        <v xml:space="preserve"> 62.0% </v>
      </c>
      <c r="AS85" t="s">
        <v>245</v>
      </c>
      <c r="AT85" t="str">
        <f t="shared" si="58"/>
        <v xml:space="preserve"> Revenue leakage detection </v>
      </c>
      <c r="AU85" t="str">
        <f t="shared" si="59"/>
        <v xml:space="preserve"> 78.0% </v>
      </c>
      <c r="AV85" t="s">
        <v>1156</v>
      </c>
      <c r="AW85" t="str">
        <f t="shared" si="60"/>
        <v>Revenue leakage detection</v>
      </c>
      <c r="AX85" t="str">
        <f t="shared" si="61"/>
        <v xml:space="preserve"> 60.0% </v>
      </c>
    </row>
    <row r="86" spans="1:50" x14ac:dyDescent="0.45">
      <c r="A86" t="s">
        <v>79</v>
      </c>
      <c r="B86" t="str">
        <f t="shared" si="31"/>
        <v xml:space="preserve"> Fraud detection </v>
      </c>
      <c r="C86" t="str">
        <f t="shared" si="32"/>
        <v xml:space="preserve"> 40.0% </v>
      </c>
      <c r="D86" t="s">
        <v>91</v>
      </c>
      <c r="E86" t="str">
        <f t="shared" si="33"/>
        <v xml:space="preserve"> Fraud detection </v>
      </c>
      <c r="F86" t="str">
        <f t="shared" si="34"/>
        <v xml:space="preserve"> 30.0% </v>
      </c>
      <c r="G86" t="s">
        <v>91</v>
      </c>
      <c r="H86" t="str">
        <f t="shared" si="35"/>
        <v xml:space="preserve"> Fraud detection </v>
      </c>
      <c r="I86" t="str">
        <f t="shared" si="36"/>
        <v xml:space="preserve"> 30.0% </v>
      </c>
      <c r="J86" t="s">
        <v>365</v>
      </c>
      <c r="K86" t="str">
        <f t="shared" si="37"/>
        <v xml:space="preserve"> Fraud detection </v>
      </c>
      <c r="L86" t="str">
        <f t="shared" si="38"/>
        <v xml:space="preserve"> 20.0% </v>
      </c>
      <c r="M86" t="s">
        <v>456</v>
      </c>
      <c r="N86" t="str">
        <f t="shared" si="39"/>
        <v xml:space="preserve"> Fraud detection </v>
      </c>
      <c r="O86" t="str">
        <f t="shared" si="40"/>
        <v xml:space="preserve"> 29.0% </v>
      </c>
      <c r="P86" t="s">
        <v>623</v>
      </c>
      <c r="Q86" t="str">
        <f t="shared" si="41"/>
        <v xml:space="preserve"> Fraud detection </v>
      </c>
      <c r="R86" t="str">
        <f t="shared" si="42"/>
        <v xml:space="preserve"> 35.0% </v>
      </c>
      <c r="S86" t="s">
        <v>688</v>
      </c>
      <c r="T86" t="str">
        <f t="shared" si="43"/>
        <v xml:space="preserve"> Fraud detection </v>
      </c>
      <c r="U86" t="str">
        <f t="shared" si="44"/>
        <v xml:space="preserve"> 42.0% </v>
      </c>
      <c r="V86" t="s">
        <v>79</v>
      </c>
      <c r="W86" t="str">
        <f t="shared" si="45"/>
        <v xml:space="preserve"> Fraud detection </v>
      </c>
      <c r="X86" t="str">
        <f t="shared" si="46"/>
        <v xml:space="preserve"> 40.0% </v>
      </c>
      <c r="Y86" t="s">
        <v>91</v>
      </c>
      <c r="Z86" t="str">
        <f t="shared" si="47"/>
        <v xml:space="preserve"> Fraud detection </v>
      </c>
      <c r="AA86" t="str">
        <f t="shared" si="48"/>
        <v xml:space="preserve"> 30.0% </v>
      </c>
      <c r="AB86" t="s">
        <v>375</v>
      </c>
      <c r="AC86" t="str">
        <f t="shared" si="49"/>
        <v xml:space="preserve"> Fraud detection </v>
      </c>
      <c r="AD86" t="str">
        <f t="shared" si="50"/>
        <v xml:space="preserve"> 25.0% </v>
      </c>
      <c r="AF86" t="s">
        <v>862</v>
      </c>
      <c r="AG86" t="str">
        <f t="shared" si="51"/>
        <v xml:space="preserve"> Fraud detection </v>
      </c>
      <c r="AH86" t="str">
        <f t="shared" si="52"/>
        <v xml:space="preserve"> 52.0% </v>
      </c>
      <c r="AI86" t="s">
        <v>91</v>
      </c>
      <c r="AK86" t="str">
        <f t="shared" si="53"/>
        <v xml:space="preserve"> Fraud detection </v>
      </c>
      <c r="AL86" t="str">
        <f t="shared" si="54"/>
        <v xml:space="preserve"> 30.0% </v>
      </c>
      <c r="AM86" t="s">
        <v>375</v>
      </c>
      <c r="AN86" t="s">
        <v>0</v>
      </c>
      <c r="AO86" t="str">
        <f t="shared" si="55"/>
        <v xml:space="preserve"> 25.0% </v>
      </c>
      <c r="AP86" t="s">
        <v>995</v>
      </c>
      <c r="AQ86" t="str">
        <f t="shared" si="56"/>
        <v xml:space="preserve"> Fraud detection </v>
      </c>
      <c r="AR86" t="str">
        <f t="shared" si="57"/>
        <v xml:space="preserve"> 28.0% </v>
      </c>
      <c r="AS86" t="s">
        <v>688</v>
      </c>
      <c r="AT86" t="str">
        <f t="shared" si="58"/>
        <v xml:space="preserve"> Fraud detection </v>
      </c>
      <c r="AU86" t="str">
        <f t="shared" si="59"/>
        <v xml:space="preserve"> 42.0% </v>
      </c>
      <c r="AV86" t="s">
        <v>1157</v>
      </c>
      <c r="AW86" t="str">
        <f t="shared" si="60"/>
        <v>Fraud detection</v>
      </c>
      <c r="AX86" t="str">
        <f t="shared" si="61"/>
        <v xml:space="preserve"> 20.0% </v>
      </c>
    </row>
    <row r="87" spans="1:50" x14ac:dyDescent="0.45">
      <c r="A87" t="s">
        <v>80</v>
      </c>
      <c r="B87" t="str">
        <f t="shared" si="31"/>
        <v xml:space="preserve"> Data quality &amp; reconciliation </v>
      </c>
      <c r="C87" t="str">
        <f t="shared" si="32"/>
        <v xml:space="preserve"> 60.0% </v>
      </c>
      <c r="D87" t="s">
        <v>246</v>
      </c>
      <c r="E87" t="str">
        <f t="shared" si="33"/>
        <v xml:space="preserve"> Data quality &amp; reconciliation </v>
      </c>
      <c r="F87" t="str">
        <f t="shared" si="34"/>
        <v xml:space="preserve"> 58.0% </v>
      </c>
      <c r="G87" t="s">
        <v>562</v>
      </c>
      <c r="H87" t="str">
        <f t="shared" si="35"/>
        <v xml:space="preserve"> Data quality &amp; reconciliation </v>
      </c>
      <c r="I87" t="str">
        <f t="shared" si="36"/>
        <v xml:space="preserve"> 55.0% </v>
      </c>
      <c r="J87" t="s">
        <v>257</v>
      </c>
      <c r="K87" t="str">
        <f t="shared" si="37"/>
        <v xml:space="preserve"> Data quality &amp; reconciliation </v>
      </c>
      <c r="L87" t="str">
        <f t="shared" si="38"/>
        <v xml:space="preserve"> 50.0% </v>
      </c>
      <c r="M87" t="s">
        <v>457</v>
      </c>
      <c r="N87" t="str">
        <f t="shared" si="39"/>
        <v xml:space="preserve"> Data quality &amp; reconciliation </v>
      </c>
      <c r="O87" t="str">
        <f t="shared" si="40"/>
        <v xml:space="preserve"> 52.0% </v>
      </c>
      <c r="P87" t="s">
        <v>80</v>
      </c>
      <c r="Q87" t="str">
        <f t="shared" si="41"/>
        <v xml:space="preserve"> Data quality &amp; reconciliation </v>
      </c>
      <c r="R87" t="str">
        <f t="shared" si="42"/>
        <v xml:space="preserve"> 60.0% </v>
      </c>
      <c r="S87" t="s">
        <v>562</v>
      </c>
      <c r="T87" t="str">
        <f t="shared" si="43"/>
        <v xml:space="preserve"> Data quality &amp; reconciliation </v>
      </c>
      <c r="U87" t="str">
        <f t="shared" si="44"/>
        <v xml:space="preserve"> 55.0% </v>
      </c>
      <c r="V87" t="s">
        <v>92</v>
      </c>
      <c r="W87" t="str">
        <f t="shared" si="45"/>
        <v xml:space="preserve"> Data quality &amp; reconciliation </v>
      </c>
      <c r="X87" t="str">
        <f t="shared" si="46"/>
        <v xml:space="preserve"> 70.0% </v>
      </c>
      <c r="Y87" t="s">
        <v>257</v>
      </c>
      <c r="Z87" t="str">
        <f t="shared" si="47"/>
        <v xml:space="preserve"> Data quality &amp; reconciliation </v>
      </c>
      <c r="AA87" t="str">
        <f t="shared" si="48"/>
        <v xml:space="preserve"> 50.0% </v>
      </c>
      <c r="AB87" t="s">
        <v>562</v>
      </c>
      <c r="AC87" t="str">
        <f t="shared" si="49"/>
        <v xml:space="preserve"> Data quality &amp; reconciliation </v>
      </c>
      <c r="AD87" t="str">
        <f t="shared" si="50"/>
        <v xml:space="preserve"> 55.0% </v>
      </c>
      <c r="AF87" t="s">
        <v>246</v>
      </c>
      <c r="AG87" t="str">
        <f t="shared" si="51"/>
        <v xml:space="preserve"> Data quality &amp; reconciliation </v>
      </c>
      <c r="AH87" t="str">
        <f t="shared" si="52"/>
        <v xml:space="preserve"> 58.0% </v>
      </c>
      <c r="AI87" t="s">
        <v>80</v>
      </c>
      <c r="AK87" t="str">
        <f t="shared" si="53"/>
        <v xml:space="preserve"> Data quality &amp; reconciliation </v>
      </c>
      <c r="AL87" t="str">
        <f t="shared" si="54"/>
        <v xml:space="preserve"> 60.0% </v>
      </c>
      <c r="AM87" t="s">
        <v>92</v>
      </c>
      <c r="AN87" t="s">
        <v>0</v>
      </c>
      <c r="AO87" t="str">
        <f t="shared" si="55"/>
        <v xml:space="preserve"> 70.0% </v>
      </c>
      <c r="AP87" t="s">
        <v>996</v>
      </c>
      <c r="AQ87" t="str">
        <f t="shared" si="56"/>
        <v xml:space="preserve"> Data quality &amp; reconciliation </v>
      </c>
      <c r="AR87" t="str">
        <f t="shared" si="57"/>
        <v xml:space="preserve"> 54.0% </v>
      </c>
      <c r="AS87" t="s">
        <v>1057</v>
      </c>
      <c r="AT87" t="str">
        <f t="shared" si="58"/>
        <v xml:space="preserve"> Data quality &amp; reconciliation </v>
      </c>
      <c r="AU87" t="str">
        <f t="shared" si="59"/>
        <v xml:space="preserve"> 67.0% </v>
      </c>
      <c r="AV87" t="s">
        <v>1158</v>
      </c>
      <c r="AW87" t="str">
        <f t="shared" si="60"/>
        <v>Data quality &amp; reconciliation</v>
      </c>
      <c r="AX87" t="str">
        <f t="shared" si="61"/>
        <v xml:space="preserve"> 55.0% </v>
      </c>
    </row>
    <row r="88" spans="1:50" x14ac:dyDescent="0.45">
      <c r="A88" t="s">
        <v>81</v>
      </c>
      <c r="B88" t="str">
        <f t="shared" si="31"/>
        <v xml:space="preserve"> Partner / interconnect assurance </v>
      </c>
      <c r="C88" t="str">
        <f t="shared" si="32"/>
        <v xml:space="preserve"> 35.0% </v>
      </c>
      <c r="D88" t="s">
        <v>247</v>
      </c>
      <c r="E88" t="str">
        <f t="shared" si="33"/>
        <v xml:space="preserve"> Partner / interconnect assurance </v>
      </c>
      <c r="F88" t="str">
        <f t="shared" si="34"/>
        <v xml:space="preserve"> 38.0% </v>
      </c>
      <c r="G88" t="s">
        <v>563</v>
      </c>
      <c r="H88" t="str">
        <f t="shared" si="35"/>
        <v xml:space="preserve"> Partner / interconnect assurance </v>
      </c>
      <c r="I88" t="str">
        <f t="shared" si="36"/>
        <v xml:space="preserve"> 25.0% </v>
      </c>
      <c r="J88" t="s">
        <v>366</v>
      </c>
      <c r="K88" t="str">
        <f t="shared" si="37"/>
        <v xml:space="preserve"> Partner / interconnect assurance </v>
      </c>
      <c r="L88" t="str">
        <f t="shared" si="38"/>
        <v xml:space="preserve"> 40.0% </v>
      </c>
      <c r="M88" t="s">
        <v>458</v>
      </c>
      <c r="N88" t="str">
        <f t="shared" si="39"/>
        <v xml:space="preserve"> Partner / interconnect assurance </v>
      </c>
      <c r="O88" t="str">
        <f t="shared" si="40"/>
        <v xml:space="preserve"> 31.0% </v>
      </c>
      <c r="P88" t="s">
        <v>366</v>
      </c>
      <c r="Q88" t="str">
        <f t="shared" si="41"/>
        <v xml:space="preserve"> Partner / interconnect assurance </v>
      </c>
      <c r="R88" t="str">
        <f t="shared" si="42"/>
        <v xml:space="preserve"> 40.0% </v>
      </c>
      <c r="S88" t="s">
        <v>247</v>
      </c>
      <c r="T88" t="str">
        <f t="shared" si="43"/>
        <v xml:space="preserve"> Partner / interconnect assurance </v>
      </c>
      <c r="U88" t="str">
        <f t="shared" si="44"/>
        <v xml:space="preserve"> 38.0% </v>
      </c>
      <c r="V88" t="s">
        <v>732</v>
      </c>
      <c r="W88" t="str">
        <f t="shared" si="45"/>
        <v xml:space="preserve"> Partner / interconnect assurance </v>
      </c>
      <c r="X88" t="str">
        <f t="shared" si="46"/>
        <v xml:space="preserve"> 60.0% </v>
      </c>
      <c r="Y88" t="s">
        <v>366</v>
      </c>
      <c r="Z88" t="str">
        <f t="shared" si="47"/>
        <v xml:space="preserve"> Partner / interconnect assurance </v>
      </c>
      <c r="AA88" t="str">
        <f t="shared" si="48"/>
        <v xml:space="preserve"> 40.0% </v>
      </c>
      <c r="AB88" t="s">
        <v>366</v>
      </c>
      <c r="AC88" t="str">
        <f t="shared" si="49"/>
        <v xml:space="preserve"> Partner / interconnect assurance </v>
      </c>
      <c r="AD88" t="str">
        <f t="shared" si="50"/>
        <v xml:space="preserve"> 40.0% </v>
      </c>
      <c r="AF88" t="s">
        <v>863</v>
      </c>
      <c r="AG88" t="str">
        <f t="shared" si="51"/>
        <v xml:space="preserve"> Partner / interconnect assurance </v>
      </c>
      <c r="AH88" t="str">
        <f t="shared" si="52"/>
        <v xml:space="preserve"> 44.0% </v>
      </c>
      <c r="AI88" t="s">
        <v>563</v>
      </c>
      <c r="AK88" t="str">
        <f t="shared" si="53"/>
        <v xml:space="preserve"> Partner / interconnect assurance </v>
      </c>
      <c r="AL88" t="str">
        <f t="shared" si="54"/>
        <v xml:space="preserve"> 25.0% </v>
      </c>
      <c r="AM88" t="s">
        <v>87</v>
      </c>
      <c r="AN88" t="s">
        <v>0</v>
      </c>
      <c r="AO88" t="str">
        <f t="shared" si="55"/>
        <v xml:space="preserve"> 45.0% </v>
      </c>
      <c r="AP88" t="s">
        <v>866</v>
      </c>
      <c r="AQ88" t="str">
        <f t="shared" si="56"/>
        <v xml:space="preserve"> Partner / interconnect assurance </v>
      </c>
      <c r="AR88" t="str">
        <f t="shared" si="57"/>
        <v xml:space="preserve"> 32.0% </v>
      </c>
      <c r="AS88" t="s">
        <v>366</v>
      </c>
      <c r="AT88" t="str">
        <f t="shared" si="58"/>
        <v xml:space="preserve"> Partner / interconnect assurance </v>
      </c>
      <c r="AU88" t="str">
        <f t="shared" si="59"/>
        <v xml:space="preserve"> 40.0% </v>
      </c>
      <c r="AV88" t="s">
        <v>1159</v>
      </c>
      <c r="AW88" t="str">
        <f t="shared" si="60"/>
        <v>Partner / interconnect assurance</v>
      </c>
      <c r="AX88" t="str">
        <f t="shared" si="61"/>
        <v xml:space="preserve"> 25.0% </v>
      </c>
    </row>
    <row r="89" spans="1:50" x14ac:dyDescent="0.45">
      <c r="A89" t="s">
        <v>82</v>
      </c>
      <c r="B89" t="str">
        <f t="shared" si="31"/>
        <v xml:space="preserve"> Wholesale / roaming </v>
      </c>
      <c r="C89" t="str">
        <f t="shared" si="32"/>
        <v xml:space="preserve"> 30.0% </v>
      </c>
      <c r="D89" t="s">
        <v>82</v>
      </c>
      <c r="E89" t="str">
        <f t="shared" si="33"/>
        <v xml:space="preserve"> Wholesale / roaming </v>
      </c>
      <c r="F89" t="str">
        <f t="shared" si="34"/>
        <v xml:space="preserve"> 30.0% </v>
      </c>
      <c r="G89" t="s">
        <v>258</v>
      </c>
      <c r="H89" t="str">
        <f t="shared" si="35"/>
        <v xml:space="preserve"> Wholesale / roaming </v>
      </c>
      <c r="I89" t="str">
        <f t="shared" si="36"/>
        <v xml:space="preserve"> 20.0% </v>
      </c>
      <c r="J89" t="s">
        <v>367</v>
      </c>
      <c r="K89" t="str">
        <f t="shared" si="37"/>
        <v xml:space="preserve"> Wholesale / roaming </v>
      </c>
      <c r="L89" t="str">
        <f t="shared" si="38"/>
        <v xml:space="preserve"> 35.0% </v>
      </c>
      <c r="M89" t="s">
        <v>459</v>
      </c>
      <c r="N89" t="str">
        <f t="shared" si="39"/>
        <v xml:space="preserve"> Wholesale / roaming </v>
      </c>
      <c r="O89" t="str">
        <f t="shared" si="40"/>
        <v xml:space="preserve"> 27.0% </v>
      </c>
      <c r="P89" t="s">
        <v>82</v>
      </c>
      <c r="Q89" t="str">
        <f t="shared" si="41"/>
        <v xml:space="preserve"> Wholesale / roaming </v>
      </c>
      <c r="R89" t="str">
        <f t="shared" si="42"/>
        <v xml:space="preserve"> 30.0% </v>
      </c>
      <c r="S89" t="s">
        <v>82</v>
      </c>
      <c r="T89" t="str">
        <f t="shared" si="43"/>
        <v xml:space="preserve"> Wholesale / roaming </v>
      </c>
      <c r="U89" t="str">
        <f t="shared" si="44"/>
        <v xml:space="preserve"> 30.0% </v>
      </c>
      <c r="V89" t="s">
        <v>626</v>
      </c>
      <c r="W89" t="str">
        <f t="shared" si="45"/>
        <v xml:space="preserve"> Wholesale / roaming </v>
      </c>
      <c r="X89" t="str">
        <f t="shared" si="46"/>
        <v xml:space="preserve"> 50.0% </v>
      </c>
      <c r="Y89" t="s">
        <v>372</v>
      </c>
      <c r="Z89" t="str">
        <f t="shared" si="47"/>
        <v xml:space="preserve"> Wholesale / roaming </v>
      </c>
      <c r="AA89" t="str">
        <f t="shared" si="48"/>
        <v xml:space="preserve"> 25.0% </v>
      </c>
      <c r="AB89" t="s">
        <v>82</v>
      </c>
      <c r="AC89" t="str">
        <f t="shared" si="49"/>
        <v xml:space="preserve"> Wholesale / roaming </v>
      </c>
      <c r="AD89" t="str">
        <f t="shared" si="50"/>
        <v xml:space="preserve"> 30.0% </v>
      </c>
      <c r="AF89" t="s">
        <v>864</v>
      </c>
      <c r="AG89" t="str">
        <f t="shared" si="51"/>
        <v xml:space="preserve"> Wholesale / roaming </v>
      </c>
      <c r="AH89" t="str">
        <f t="shared" si="52"/>
        <v xml:space="preserve"> 38.0% </v>
      </c>
      <c r="AI89" t="s">
        <v>253</v>
      </c>
      <c r="AK89" t="str">
        <f t="shared" si="53"/>
        <v xml:space="preserve"> Wholesale / roaming </v>
      </c>
      <c r="AL89" t="str">
        <f t="shared" si="54"/>
        <v xml:space="preserve"> 22.0% </v>
      </c>
      <c r="AM89" t="s">
        <v>88</v>
      </c>
      <c r="AN89" t="s">
        <v>0</v>
      </c>
      <c r="AO89" t="str">
        <f t="shared" si="55"/>
        <v xml:space="preserve"> 40.0% </v>
      </c>
      <c r="AP89" t="s">
        <v>997</v>
      </c>
      <c r="AQ89" t="str">
        <f t="shared" si="56"/>
        <v xml:space="preserve"> Wholesale / roaming </v>
      </c>
      <c r="AR89" t="str">
        <f t="shared" si="57"/>
        <v xml:space="preserve"> 29.0% </v>
      </c>
      <c r="AS89" t="s">
        <v>367</v>
      </c>
      <c r="AT89" t="str">
        <f t="shared" si="58"/>
        <v xml:space="preserve"> Wholesale / roaming </v>
      </c>
      <c r="AU89" t="str">
        <f t="shared" si="59"/>
        <v xml:space="preserve"> 35.0% </v>
      </c>
      <c r="AV89" t="s">
        <v>1160</v>
      </c>
      <c r="AW89" t="str">
        <f t="shared" si="60"/>
        <v>Wholesale / roaming</v>
      </c>
      <c r="AX89" t="str">
        <f t="shared" si="61"/>
        <v xml:space="preserve"> 18.0% </v>
      </c>
    </row>
    <row r="90" spans="1:50" x14ac:dyDescent="0.45">
      <c r="A90" t="s">
        <v>83</v>
      </c>
      <c r="B90" t="str">
        <f t="shared" si="31"/>
        <v xml:space="preserve"> Customer impact analysis </v>
      </c>
      <c r="C90" t="str">
        <f t="shared" si="32"/>
        <v xml:space="preserve"> 25.0% </v>
      </c>
      <c r="D90" t="s">
        <v>248</v>
      </c>
      <c r="E90" t="str">
        <f t="shared" si="33"/>
        <v xml:space="preserve"> Customer impact analysis </v>
      </c>
      <c r="F90" t="str">
        <f t="shared" si="34"/>
        <v xml:space="preserve"> 28.0% </v>
      </c>
      <c r="G90" t="s">
        <v>564</v>
      </c>
      <c r="H90" t="str">
        <f t="shared" si="35"/>
        <v xml:space="preserve"> Customer impact analysis </v>
      </c>
      <c r="I90" t="str">
        <f t="shared" si="36"/>
        <v xml:space="preserve"> 18.0% </v>
      </c>
      <c r="J90" t="s">
        <v>83</v>
      </c>
      <c r="K90" t="str">
        <f t="shared" si="37"/>
        <v xml:space="preserve"> Customer impact analysis </v>
      </c>
      <c r="L90" t="str">
        <f t="shared" si="38"/>
        <v xml:space="preserve"> 25.0% </v>
      </c>
      <c r="M90" t="s">
        <v>460</v>
      </c>
      <c r="N90" t="str">
        <f t="shared" si="39"/>
        <v xml:space="preserve"> Customer impact analysis </v>
      </c>
      <c r="O90" t="str">
        <f t="shared" si="40"/>
        <v xml:space="preserve"> 23.0% </v>
      </c>
      <c r="P90" t="s">
        <v>624</v>
      </c>
      <c r="Q90" t="str">
        <f t="shared" si="41"/>
        <v xml:space="preserve"> Customer impact analysis </v>
      </c>
      <c r="R90" t="str">
        <f t="shared" si="42"/>
        <v xml:space="preserve"> 45.0% </v>
      </c>
      <c r="S90" t="s">
        <v>83</v>
      </c>
      <c r="T90" t="str">
        <f t="shared" si="43"/>
        <v xml:space="preserve"> Customer impact analysis </v>
      </c>
      <c r="U90" t="str">
        <f t="shared" si="44"/>
        <v xml:space="preserve"> 25.0% </v>
      </c>
      <c r="V90" t="s">
        <v>624</v>
      </c>
      <c r="W90" t="str">
        <f t="shared" si="45"/>
        <v xml:space="preserve"> Customer impact analysis </v>
      </c>
      <c r="X90" t="str">
        <f t="shared" si="46"/>
        <v xml:space="preserve"> 45.0% </v>
      </c>
      <c r="Y90" t="s">
        <v>628</v>
      </c>
      <c r="Z90" t="str">
        <f t="shared" si="47"/>
        <v xml:space="preserve"> Customer impact analysis </v>
      </c>
      <c r="AA90" t="str">
        <f t="shared" si="48"/>
        <v xml:space="preserve"> 35.0% </v>
      </c>
      <c r="AB90" t="s">
        <v>628</v>
      </c>
      <c r="AC90" t="str">
        <f t="shared" si="49"/>
        <v xml:space="preserve"> Customer impact analysis </v>
      </c>
      <c r="AD90" t="str">
        <f t="shared" si="50"/>
        <v xml:space="preserve"> 35.0% </v>
      </c>
      <c r="AF90" t="s">
        <v>692</v>
      </c>
      <c r="AG90" t="str">
        <f t="shared" si="51"/>
        <v xml:space="preserve"> Customer impact analysis </v>
      </c>
      <c r="AH90" t="str">
        <f t="shared" si="52"/>
        <v xml:space="preserve"> 32.0% </v>
      </c>
      <c r="AI90" t="s">
        <v>564</v>
      </c>
      <c r="AK90" t="str">
        <f t="shared" si="53"/>
        <v xml:space="preserve"> Customer impact analysis </v>
      </c>
      <c r="AL90" t="str">
        <f t="shared" si="54"/>
        <v xml:space="preserve"> 18.0% </v>
      </c>
      <c r="AM90" t="s">
        <v>788</v>
      </c>
      <c r="AN90" t="s">
        <v>0</v>
      </c>
      <c r="AO90" t="str">
        <f t="shared" si="55"/>
        <v xml:space="preserve"> 30.0% </v>
      </c>
      <c r="AP90" t="s">
        <v>998</v>
      </c>
      <c r="AQ90" t="str">
        <f t="shared" si="56"/>
        <v xml:space="preserve"> Customer impact analysis </v>
      </c>
      <c r="AR90" t="str">
        <f t="shared" si="57"/>
        <v xml:space="preserve"> 34.0% </v>
      </c>
      <c r="AS90" t="s">
        <v>1058</v>
      </c>
      <c r="AT90" t="str">
        <f t="shared" si="58"/>
        <v xml:space="preserve"> Customer impact analysis </v>
      </c>
      <c r="AU90" t="str">
        <f t="shared" si="59"/>
        <v xml:space="preserve"> 48.0% </v>
      </c>
      <c r="AV90" t="s">
        <v>1161</v>
      </c>
      <c r="AW90" t="str">
        <f t="shared" si="60"/>
        <v>Customer impact analysis</v>
      </c>
      <c r="AX90" t="str">
        <f t="shared" si="61"/>
        <v xml:space="preserve"> 40.0% </v>
      </c>
    </row>
    <row r="91" spans="1:50" x14ac:dyDescent="0.45">
      <c r="A91" t="s">
        <v>65</v>
      </c>
      <c r="B91" t="str">
        <f t="shared" si="31"/>
        <v xml:space="preserve"> Other </v>
      </c>
      <c r="C91" t="str">
        <f t="shared" si="32"/>
        <v xml:space="preserve"> 2.0% </v>
      </c>
      <c r="D91" t="s">
        <v>233</v>
      </c>
      <c r="E91" t="str">
        <f t="shared" si="33"/>
        <v xml:space="preserve"> Other </v>
      </c>
      <c r="F91" t="str">
        <f t="shared" si="34"/>
        <v xml:space="preserve"> 6.0% </v>
      </c>
      <c r="G91" t="s">
        <v>275</v>
      </c>
      <c r="H91" t="str">
        <f t="shared" si="35"/>
        <v xml:space="preserve"> Other </v>
      </c>
      <c r="I91" t="str">
        <f t="shared" si="36"/>
        <v xml:space="preserve"> 8.0% </v>
      </c>
      <c r="J91" t="s">
        <v>96</v>
      </c>
      <c r="K91" t="str">
        <f t="shared" si="37"/>
        <v xml:space="preserve"> Other </v>
      </c>
      <c r="L91" t="str">
        <f t="shared" si="38"/>
        <v xml:space="preserve"> 10.0% </v>
      </c>
      <c r="M91" t="s">
        <v>233</v>
      </c>
      <c r="N91" t="str">
        <f t="shared" si="39"/>
        <v xml:space="preserve"> Other </v>
      </c>
      <c r="O91" t="str">
        <f t="shared" si="40"/>
        <v xml:space="preserve"> 6.0% </v>
      </c>
      <c r="P91" t="s">
        <v>275</v>
      </c>
      <c r="Q91" t="str">
        <f t="shared" si="41"/>
        <v xml:space="preserve"> Other </v>
      </c>
      <c r="R91" t="str">
        <f t="shared" si="42"/>
        <v xml:space="preserve"> 8.0% </v>
      </c>
      <c r="S91" t="s">
        <v>96</v>
      </c>
      <c r="T91" t="str">
        <f t="shared" si="43"/>
        <v xml:space="preserve"> Other </v>
      </c>
      <c r="U91" t="str">
        <f t="shared" si="44"/>
        <v xml:space="preserve"> 10.0% </v>
      </c>
      <c r="V91" t="s">
        <v>39</v>
      </c>
      <c r="W91" t="str">
        <f t="shared" si="45"/>
        <v xml:space="preserve"> Other </v>
      </c>
      <c r="X91" t="str">
        <f t="shared" si="46"/>
        <v xml:space="preserve"> 15.0% </v>
      </c>
      <c r="Y91" t="s">
        <v>96</v>
      </c>
      <c r="Z91" t="str">
        <f t="shared" si="47"/>
        <v xml:space="preserve"> Other </v>
      </c>
      <c r="AA91" t="str">
        <f t="shared" si="48"/>
        <v xml:space="preserve"> 10.0% </v>
      </c>
      <c r="AB91" t="s">
        <v>96</v>
      </c>
      <c r="AC91" t="str">
        <f t="shared" si="49"/>
        <v xml:space="preserve"> Other </v>
      </c>
      <c r="AD91" t="str">
        <f t="shared" si="50"/>
        <v xml:space="preserve"> 10.0% </v>
      </c>
      <c r="AF91" t="s">
        <v>233</v>
      </c>
      <c r="AG91" t="str">
        <f t="shared" si="51"/>
        <v xml:space="preserve"> Other </v>
      </c>
      <c r="AH91" t="str">
        <f t="shared" si="52"/>
        <v xml:space="preserve"> 6.0% </v>
      </c>
      <c r="AI91" t="s">
        <v>76</v>
      </c>
      <c r="AK91" t="str">
        <f t="shared" si="53"/>
        <v xml:space="preserve"> Other </v>
      </c>
      <c r="AL91" t="str">
        <f t="shared" si="54"/>
        <v xml:space="preserve"> 5.0% </v>
      </c>
      <c r="AM91" t="s">
        <v>65</v>
      </c>
      <c r="AN91" t="s">
        <v>0</v>
      </c>
      <c r="AO91" t="str">
        <f t="shared" si="55"/>
        <v xml:space="preserve"> 2.0% </v>
      </c>
      <c r="AP91" t="s">
        <v>999</v>
      </c>
      <c r="AQ91" t="str">
        <f t="shared" si="56"/>
        <v xml:space="preserve"> Other </v>
      </c>
      <c r="AR91" t="str">
        <f t="shared" si="57"/>
        <v xml:space="preserve"> 9.0% </v>
      </c>
      <c r="AS91" t="s">
        <v>233</v>
      </c>
      <c r="AT91" t="str">
        <f t="shared" si="58"/>
        <v xml:space="preserve"> Other </v>
      </c>
      <c r="AU91" t="str">
        <f t="shared" si="59"/>
        <v xml:space="preserve"> 6.0% </v>
      </c>
      <c r="AV91" t="s">
        <v>1116</v>
      </c>
      <c r="AW91" t="str">
        <f t="shared" si="60"/>
        <v>Other</v>
      </c>
      <c r="AX91" t="str">
        <f t="shared" si="61"/>
        <v xml:space="preserve"> 15.0% </v>
      </c>
    </row>
    <row r="92" spans="1:50" x14ac:dyDescent="0.45">
      <c r="A92" t="s">
        <v>47</v>
      </c>
      <c r="B92" t="str">
        <f t="shared" si="31"/>
        <v/>
      </c>
      <c r="C92" t="str">
        <f t="shared" si="32"/>
        <v/>
      </c>
      <c r="D92" t="s">
        <v>216</v>
      </c>
      <c r="E92" t="str">
        <f t="shared" si="33"/>
        <v/>
      </c>
      <c r="F92" t="str">
        <f t="shared" si="34"/>
        <v/>
      </c>
      <c r="G92" t="s">
        <v>47</v>
      </c>
      <c r="H92" t="str">
        <f t="shared" si="35"/>
        <v/>
      </c>
      <c r="I92" t="str">
        <f t="shared" si="36"/>
        <v/>
      </c>
      <c r="J92" t="s">
        <v>47</v>
      </c>
      <c r="K92" t="str">
        <f t="shared" si="37"/>
        <v/>
      </c>
      <c r="L92" t="str">
        <f t="shared" si="38"/>
        <v/>
      </c>
      <c r="M92" t="s">
        <v>47</v>
      </c>
      <c r="N92" t="str">
        <f t="shared" si="39"/>
        <v/>
      </c>
      <c r="O92" t="str">
        <f t="shared" si="40"/>
        <v/>
      </c>
      <c r="P92" t="s">
        <v>47</v>
      </c>
      <c r="Q92" t="str">
        <f t="shared" si="41"/>
        <v/>
      </c>
      <c r="R92" t="str">
        <f t="shared" si="42"/>
        <v/>
      </c>
      <c r="S92" t="s">
        <v>47</v>
      </c>
      <c r="T92" t="str">
        <f t="shared" si="43"/>
        <v/>
      </c>
      <c r="U92" t="str">
        <f t="shared" si="44"/>
        <v/>
      </c>
      <c r="V92" t="s">
        <v>47</v>
      </c>
      <c r="W92" t="str">
        <f t="shared" si="45"/>
        <v/>
      </c>
      <c r="X92" t="str">
        <f t="shared" si="46"/>
        <v/>
      </c>
      <c r="Y92" t="s">
        <v>47</v>
      </c>
      <c r="Z92" t="str">
        <f t="shared" si="47"/>
        <v/>
      </c>
      <c r="AA92" t="str">
        <f t="shared" si="48"/>
        <v/>
      </c>
      <c r="AB92" t="s">
        <v>47</v>
      </c>
      <c r="AC92" t="str">
        <f t="shared" si="49"/>
        <v/>
      </c>
      <c r="AD92" t="str">
        <f t="shared" si="50"/>
        <v/>
      </c>
      <c r="AF92" t="s">
        <v>47</v>
      </c>
      <c r="AG92" t="str">
        <f t="shared" si="51"/>
        <v/>
      </c>
      <c r="AH92" t="str">
        <f t="shared" si="52"/>
        <v/>
      </c>
      <c r="AI92" t="s">
        <v>47</v>
      </c>
      <c r="AK92" t="str">
        <f t="shared" si="53"/>
        <v/>
      </c>
      <c r="AL92" t="str">
        <f t="shared" si="54"/>
        <v/>
      </c>
      <c r="AM92" t="s">
        <v>47</v>
      </c>
      <c r="AN92" t="s">
        <v>0</v>
      </c>
      <c r="AO92" t="str">
        <f t="shared" si="55"/>
        <v/>
      </c>
      <c r="AP92" t="s">
        <v>47</v>
      </c>
      <c r="AQ92" t="str">
        <f t="shared" si="56"/>
        <v/>
      </c>
      <c r="AR92" t="str">
        <f t="shared" si="57"/>
        <v/>
      </c>
      <c r="AS92" t="s">
        <v>47</v>
      </c>
      <c r="AT92" t="str">
        <f t="shared" si="58"/>
        <v/>
      </c>
      <c r="AU92" t="str">
        <f t="shared" si="59"/>
        <v/>
      </c>
      <c r="AV92" t="s">
        <v>1124</v>
      </c>
      <c r="AW92" t="str">
        <f t="shared" si="60"/>
        <v/>
      </c>
      <c r="AX92" t="str">
        <f t="shared" si="61"/>
        <v/>
      </c>
    </row>
    <row r="93" spans="1:50" x14ac:dyDescent="0.45">
      <c r="A93" t="s">
        <v>84</v>
      </c>
      <c r="B93" t="str">
        <f t="shared" si="31"/>
        <v xml:space="preserve"> Revenue leakage detection </v>
      </c>
      <c r="C93" t="str">
        <f t="shared" si="32"/>
        <v xml:space="preserve"> 20.0% </v>
      </c>
      <c r="D93" t="s">
        <v>249</v>
      </c>
      <c r="E93" t="str">
        <f t="shared" si="33"/>
        <v xml:space="preserve"> Revenue leakage detection </v>
      </c>
      <c r="F93" t="str">
        <f t="shared" si="34"/>
        <v xml:space="preserve"> 34.0% </v>
      </c>
      <c r="G93" t="s">
        <v>84</v>
      </c>
      <c r="H93" t="str">
        <f t="shared" si="35"/>
        <v xml:space="preserve"> Revenue leakage detection </v>
      </c>
      <c r="I93" t="str">
        <f t="shared" si="36"/>
        <v xml:space="preserve"> 20.0% </v>
      </c>
      <c r="J93" t="s">
        <v>368</v>
      </c>
      <c r="K93" t="str">
        <f t="shared" si="37"/>
        <v xml:space="preserve"> Revenue leakage detection </v>
      </c>
      <c r="L93" t="str">
        <f t="shared" si="38"/>
        <v xml:space="preserve"> 15.0% </v>
      </c>
      <c r="M93" t="s">
        <v>461</v>
      </c>
      <c r="N93" t="str">
        <f t="shared" si="39"/>
        <v xml:space="preserve"> Revenue leakage detection </v>
      </c>
      <c r="O93" t="str">
        <f t="shared" si="40"/>
        <v xml:space="preserve"> 24.0% </v>
      </c>
      <c r="P93" t="s">
        <v>374</v>
      </c>
      <c r="Q93" t="str">
        <f t="shared" si="41"/>
        <v xml:space="preserve"> Revenue leakage detection </v>
      </c>
      <c r="R93" t="str">
        <f t="shared" si="42"/>
        <v xml:space="preserve"> 30.0% </v>
      </c>
      <c r="S93" t="s">
        <v>374</v>
      </c>
      <c r="T93" t="str">
        <f t="shared" si="43"/>
        <v xml:space="preserve"> Revenue leakage detection </v>
      </c>
      <c r="U93" t="str">
        <f t="shared" si="44"/>
        <v xml:space="preserve"> 30.0% </v>
      </c>
      <c r="V93" t="s">
        <v>733</v>
      </c>
      <c r="W93" t="str">
        <f t="shared" si="45"/>
        <v xml:space="preserve"> Revenue leakage detection </v>
      </c>
      <c r="X93" t="str">
        <f t="shared" si="46"/>
        <v xml:space="preserve"> 50.0% </v>
      </c>
      <c r="Y93" t="s">
        <v>84</v>
      </c>
      <c r="Z93" t="str">
        <f t="shared" si="47"/>
        <v xml:space="preserve"> Revenue leakage detection </v>
      </c>
      <c r="AA93" t="str">
        <f t="shared" si="48"/>
        <v xml:space="preserve"> 20.0% </v>
      </c>
      <c r="AB93" t="s">
        <v>90</v>
      </c>
      <c r="AC93" t="str">
        <f t="shared" si="49"/>
        <v xml:space="preserve"> Revenue leakage detection </v>
      </c>
      <c r="AD93" t="str">
        <f t="shared" si="50"/>
        <v xml:space="preserve"> 40.0% </v>
      </c>
      <c r="AF93" t="s">
        <v>865</v>
      </c>
      <c r="AG93" t="str">
        <f t="shared" si="51"/>
        <v xml:space="preserve"> Revenue leakage detection </v>
      </c>
      <c r="AH93" t="str">
        <f t="shared" si="52"/>
        <v xml:space="preserve"> 36.0% </v>
      </c>
      <c r="AI93" t="s">
        <v>84</v>
      </c>
      <c r="AK93" t="str">
        <f t="shared" si="53"/>
        <v xml:space="preserve"> Revenue leakage detection </v>
      </c>
      <c r="AL93" t="str">
        <f t="shared" si="54"/>
        <v xml:space="preserve"> 20.0% </v>
      </c>
      <c r="AM93" t="s">
        <v>84</v>
      </c>
      <c r="AN93" t="s">
        <v>0</v>
      </c>
      <c r="AO93" t="str">
        <f t="shared" si="55"/>
        <v xml:space="preserve"> 20.0% </v>
      </c>
      <c r="AP93" t="s">
        <v>461</v>
      </c>
      <c r="AQ93" t="str">
        <f t="shared" si="56"/>
        <v xml:space="preserve"> Revenue leakage detection </v>
      </c>
      <c r="AR93" t="str">
        <f t="shared" si="57"/>
        <v xml:space="preserve"> 24.0% </v>
      </c>
      <c r="AS93" t="s">
        <v>928</v>
      </c>
      <c r="AT93" t="str">
        <f t="shared" si="58"/>
        <v xml:space="preserve"> Revenue leakage detection </v>
      </c>
      <c r="AU93" t="str">
        <f t="shared" si="59"/>
        <v xml:space="preserve"> 45.0% </v>
      </c>
      <c r="AV93" t="s">
        <v>1162</v>
      </c>
      <c r="AW93" t="str">
        <f t="shared" si="60"/>
        <v>Revenue leakage detection</v>
      </c>
      <c r="AX93" t="str">
        <f t="shared" si="61"/>
        <v xml:space="preserve"> 20.0% </v>
      </c>
    </row>
    <row r="94" spans="1:50" x14ac:dyDescent="0.45">
      <c r="A94" t="s">
        <v>85</v>
      </c>
      <c r="B94" t="str">
        <f t="shared" si="31"/>
        <v xml:space="preserve"> Fraud detection </v>
      </c>
      <c r="C94" t="str">
        <f t="shared" si="32"/>
        <v xml:space="preserve"> 95.0% </v>
      </c>
      <c r="D94" t="s">
        <v>250</v>
      </c>
      <c r="E94" t="str">
        <f t="shared" si="33"/>
        <v xml:space="preserve"> Fraud detection </v>
      </c>
      <c r="F94" t="str">
        <f t="shared" si="34"/>
        <v xml:space="preserve"> 84.0% </v>
      </c>
      <c r="G94" t="s">
        <v>565</v>
      </c>
      <c r="H94" t="str">
        <f t="shared" si="35"/>
        <v xml:space="preserve"> Fraud detection </v>
      </c>
      <c r="I94" t="str">
        <f t="shared" si="36"/>
        <v xml:space="preserve"> 88.0% </v>
      </c>
      <c r="J94" t="s">
        <v>369</v>
      </c>
      <c r="K94" t="str">
        <f t="shared" si="37"/>
        <v xml:space="preserve"> Fraud detection </v>
      </c>
      <c r="L94" t="str">
        <f t="shared" si="38"/>
        <v xml:space="preserve"> 80.0% </v>
      </c>
      <c r="M94" t="s">
        <v>462</v>
      </c>
      <c r="N94" t="str">
        <f t="shared" si="39"/>
        <v xml:space="preserve"> Fraud detection </v>
      </c>
      <c r="O94" t="str">
        <f t="shared" si="40"/>
        <v xml:space="preserve"> 79.0% </v>
      </c>
      <c r="P94" t="s">
        <v>625</v>
      </c>
      <c r="Q94" t="str">
        <f t="shared" si="41"/>
        <v xml:space="preserve"> Fraud detection </v>
      </c>
      <c r="R94" t="str">
        <f t="shared" si="42"/>
        <v xml:space="preserve"> 85.0% </v>
      </c>
      <c r="S94" t="s">
        <v>689</v>
      </c>
      <c r="T94" t="str">
        <f t="shared" si="43"/>
        <v xml:space="preserve"> Fraud detection </v>
      </c>
      <c r="U94" t="str">
        <f t="shared" si="44"/>
        <v xml:space="preserve"> 82.0% </v>
      </c>
      <c r="V94" t="s">
        <v>85</v>
      </c>
      <c r="W94" t="str">
        <f t="shared" si="45"/>
        <v xml:space="preserve"> Fraud detection </v>
      </c>
      <c r="X94" t="str">
        <f t="shared" si="46"/>
        <v xml:space="preserve"> 95.0% </v>
      </c>
      <c r="Y94" t="s">
        <v>625</v>
      </c>
      <c r="Z94" t="str">
        <f t="shared" si="47"/>
        <v xml:space="preserve"> Fraud detection </v>
      </c>
      <c r="AA94" t="str">
        <f t="shared" si="48"/>
        <v xml:space="preserve"> 85.0% </v>
      </c>
      <c r="AB94" t="s">
        <v>369</v>
      </c>
      <c r="AC94" t="str">
        <f t="shared" si="49"/>
        <v xml:space="preserve"> Fraud detection </v>
      </c>
      <c r="AD94" t="str">
        <f t="shared" si="50"/>
        <v xml:space="preserve"> 80.0% </v>
      </c>
      <c r="AF94" t="s">
        <v>565</v>
      </c>
      <c r="AG94" t="str">
        <f t="shared" si="51"/>
        <v xml:space="preserve"> Fraud detection </v>
      </c>
      <c r="AH94" t="str">
        <f t="shared" si="52"/>
        <v xml:space="preserve"> 88.0% </v>
      </c>
      <c r="AI94" t="s">
        <v>959</v>
      </c>
      <c r="AK94" t="str">
        <f t="shared" si="53"/>
        <v xml:space="preserve"> Fraud detection </v>
      </c>
      <c r="AL94" t="str">
        <f t="shared" si="54"/>
        <v xml:space="preserve"> 92.0% </v>
      </c>
      <c r="AM94" t="s">
        <v>85</v>
      </c>
      <c r="AN94" t="s">
        <v>0</v>
      </c>
      <c r="AO94" t="str">
        <f t="shared" si="55"/>
        <v xml:space="preserve"> 95.0% </v>
      </c>
      <c r="AP94" t="s">
        <v>1000</v>
      </c>
      <c r="AQ94" t="str">
        <f t="shared" si="56"/>
        <v xml:space="preserve"> Fraud detection </v>
      </c>
      <c r="AR94" t="str">
        <f t="shared" si="57"/>
        <v xml:space="preserve"> 74.0% </v>
      </c>
      <c r="AS94" t="s">
        <v>565</v>
      </c>
      <c r="AT94" t="str">
        <f t="shared" si="58"/>
        <v xml:space="preserve"> Fraud detection </v>
      </c>
      <c r="AU94" t="str">
        <f t="shared" si="59"/>
        <v xml:space="preserve"> 88.0% </v>
      </c>
      <c r="AV94" t="s">
        <v>1163</v>
      </c>
      <c r="AW94" t="str">
        <f t="shared" si="60"/>
        <v>Fraud detection</v>
      </c>
      <c r="AX94" t="str">
        <f t="shared" si="61"/>
        <v xml:space="preserve"> 70.0% </v>
      </c>
    </row>
    <row r="95" spans="1:50" x14ac:dyDescent="0.45">
      <c r="A95" t="s">
        <v>86</v>
      </c>
      <c r="B95" t="str">
        <f t="shared" si="31"/>
        <v xml:space="preserve"> Data quality &amp; reconciliation </v>
      </c>
      <c r="C95" t="str">
        <f t="shared" si="32"/>
        <v xml:space="preserve"> 30.0% </v>
      </c>
      <c r="D95" t="s">
        <v>251</v>
      </c>
      <c r="E95" t="str">
        <f t="shared" si="33"/>
        <v xml:space="preserve"> Data quality &amp; reconciliation </v>
      </c>
      <c r="F95" t="str">
        <f t="shared" si="34"/>
        <v xml:space="preserve"> 32.0% </v>
      </c>
      <c r="G95" t="s">
        <v>566</v>
      </c>
      <c r="H95" t="str">
        <f t="shared" si="35"/>
        <v xml:space="preserve"> Data quality &amp; reconciliation </v>
      </c>
      <c r="I95" t="str">
        <f t="shared" si="36"/>
        <v xml:space="preserve"> 25.0% </v>
      </c>
      <c r="J95" t="s">
        <v>370</v>
      </c>
      <c r="K95" t="str">
        <f t="shared" si="37"/>
        <v xml:space="preserve"> Data quality &amp; reconciliation </v>
      </c>
      <c r="L95" t="str">
        <f t="shared" si="38"/>
        <v xml:space="preserve"> 40.0% </v>
      </c>
      <c r="M95" t="s">
        <v>463</v>
      </c>
      <c r="N95" t="str">
        <f t="shared" si="39"/>
        <v xml:space="preserve"> Data quality &amp; reconciliation </v>
      </c>
      <c r="O95" t="str">
        <f t="shared" si="40"/>
        <v xml:space="preserve"> 28.0% </v>
      </c>
      <c r="P95" t="s">
        <v>566</v>
      </c>
      <c r="Q95" t="str">
        <f t="shared" si="41"/>
        <v xml:space="preserve"> Data quality &amp; reconciliation </v>
      </c>
      <c r="R95" t="str">
        <f t="shared" si="42"/>
        <v xml:space="preserve"> 25.0% </v>
      </c>
      <c r="S95" t="s">
        <v>463</v>
      </c>
      <c r="T95" t="str">
        <f t="shared" si="43"/>
        <v xml:space="preserve"> Data quality &amp; reconciliation </v>
      </c>
      <c r="U95" t="str">
        <f t="shared" si="44"/>
        <v xml:space="preserve"> 28.0% </v>
      </c>
      <c r="V95" t="s">
        <v>80</v>
      </c>
      <c r="W95" t="str">
        <f t="shared" si="45"/>
        <v xml:space="preserve"> Data quality &amp; reconciliation </v>
      </c>
      <c r="X95" t="str">
        <f t="shared" si="46"/>
        <v xml:space="preserve"> 60.0% </v>
      </c>
      <c r="Y95" t="s">
        <v>86</v>
      </c>
      <c r="Z95" t="str">
        <f t="shared" si="47"/>
        <v xml:space="preserve"> Data quality &amp; reconciliation </v>
      </c>
      <c r="AA95" t="str">
        <f t="shared" si="48"/>
        <v xml:space="preserve"> 30.0% </v>
      </c>
      <c r="AB95" t="s">
        <v>370</v>
      </c>
      <c r="AC95" t="str">
        <f t="shared" si="49"/>
        <v xml:space="preserve"> Data quality &amp; reconciliation </v>
      </c>
      <c r="AD95" t="str">
        <f t="shared" si="50"/>
        <v xml:space="preserve"> 40.0% </v>
      </c>
      <c r="AF95" t="s">
        <v>691</v>
      </c>
      <c r="AG95" t="str">
        <f t="shared" si="51"/>
        <v xml:space="preserve"> Data quality &amp; reconciliation </v>
      </c>
      <c r="AH95" t="str">
        <f t="shared" si="52"/>
        <v xml:space="preserve"> 48.0% </v>
      </c>
      <c r="AI95" t="s">
        <v>927</v>
      </c>
      <c r="AK95" t="str">
        <f t="shared" si="53"/>
        <v xml:space="preserve"> Data quality &amp; reconciliation </v>
      </c>
      <c r="AL95" t="str">
        <f t="shared" si="54"/>
        <v xml:space="preserve"> 35.0% </v>
      </c>
      <c r="AM95" t="s">
        <v>927</v>
      </c>
      <c r="AN95" t="s">
        <v>0</v>
      </c>
      <c r="AO95" t="str">
        <f t="shared" si="55"/>
        <v xml:space="preserve"> 35.0% </v>
      </c>
      <c r="AP95" t="s">
        <v>1001</v>
      </c>
      <c r="AQ95" t="str">
        <f t="shared" si="56"/>
        <v xml:space="preserve"> Data quality &amp; reconciliation </v>
      </c>
      <c r="AR95" t="str">
        <f t="shared" si="57"/>
        <v xml:space="preserve"> 42.0% </v>
      </c>
      <c r="AS95" t="s">
        <v>562</v>
      </c>
      <c r="AT95" t="str">
        <f t="shared" si="58"/>
        <v xml:space="preserve"> Data quality &amp; reconciliation </v>
      </c>
      <c r="AU95" t="str">
        <f t="shared" si="59"/>
        <v xml:space="preserve"> 55.0% </v>
      </c>
      <c r="AV95" t="s">
        <v>1164</v>
      </c>
      <c r="AW95" t="str">
        <f t="shared" si="60"/>
        <v>Data quality &amp; reconciliation</v>
      </c>
      <c r="AX95" t="str">
        <f t="shared" si="61"/>
        <v xml:space="preserve"> 35.0% </v>
      </c>
    </row>
    <row r="96" spans="1:50" x14ac:dyDescent="0.45">
      <c r="A96" t="s">
        <v>87</v>
      </c>
      <c r="B96" t="str">
        <f t="shared" si="31"/>
        <v xml:space="preserve"> Partner / interconnect assurance </v>
      </c>
      <c r="C96" t="str">
        <f t="shared" si="32"/>
        <v xml:space="preserve"> 45.0% </v>
      </c>
      <c r="D96" t="s">
        <v>252</v>
      </c>
      <c r="E96" t="str">
        <f t="shared" si="33"/>
        <v xml:space="preserve"> Partner / interconnect assurance </v>
      </c>
      <c r="F96" t="str">
        <f t="shared" si="34"/>
        <v xml:space="preserve"> 28.0% </v>
      </c>
      <c r="G96" t="s">
        <v>567</v>
      </c>
      <c r="H96" t="str">
        <f t="shared" si="35"/>
        <v xml:space="preserve"> Partner / interconnect assurance </v>
      </c>
      <c r="I96" t="str">
        <f t="shared" si="36"/>
        <v xml:space="preserve"> 22.0% </v>
      </c>
      <c r="J96" t="s">
        <v>371</v>
      </c>
      <c r="K96" t="str">
        <f t="shared" si="37"/>
        <v xml:space="preserve"> Partner / interconnect assurance </v>
      </c>
      <c r="L96" t="str">
        <f t="shared" si="38"/>
        <v xml:space="preserve"> 30.0% </v>
      </c>
      <c r="M96" t="s">
        <v>464</v>
      </c>
      <c r="N96" t="str">
        <f t="shared" si="39"/>
        <v xml:space="preserve"> Partner / interconnect assurance </v>
      </c>
      <c r="O96" t="str">
        <f t="shared" si="40"/>
        <v xml:space="preserve"> 21.0% </v>
      </c>
      <c r="P96" t="s">
        <v>81</v>
      </c>
      <c r="Q96" t="str">
        <f t="shared" si="41"/>
        <v xml:space="preserve"> Partner / interconnect assurance </v>
      </c>
      <c r="R96" t="str">
        <f t="shared" si="42"/>
        <v xml:space="preserve"> 35.0% </v>
      </c>
      <c r="S96" t="s">
        <v>81</v>
      </c>
      <c r="T96" t="str">
        <f t="shared" si="43"/>
        <v xml:space="preserve"> Partner / interconnect assurance </v>
      </c>
      <c r="U96" t="str">
        <f t="shared" si="44"/>
        <v xml:space="preserve"> 35.0% </v>
      </c>
      <c r="V96" t="s">
        <v>734</v>
      </c>
      <c r="W96" t="str">
        <f t="shared" si="45"/>
        <v xml:space="preserve"> Partner / interconnect assurance </v>
      </c>
      <c r="X96" t="str">
        <f t="shared" si="46"/>
        <v xml:space="preserve"> 55.0% </v>
      </c>
      <c r="Y96" t="s">
        <v>81</v>
      </c>
      <c r="Z96" t="str">
        <f t="shared" si="47"/>
        <v xml:space="preserve"> Partner / interconnect assurance </v>
      </c>
      <c r="AA96" t="str">
        <f t="shared" si="48"/>
        <v xml:space="preserve"> 35.0% </v>
      </c>
      <c r="AB96" t="s">
        <v>87</v>
      </c>
      <c r="AC96" t="str">
        <f t="shared" si="49"/>
        <v xml:space="preserve"> Partner / interconnect assurance </v>
      </c>
      <c r="AD96" t="str">
        <f t="shared" si="50"/>
        <v xml:space="preserve"> 45.0% </v>
      </c>
      <c r="AF96" t="s">
        <v>866</v>
      </c>
      <c r="AG96" t="str">
        <f t="shared" si="51"/>
        <v xml:space="preserve"> Partner / interconnect assurance </v>
      </c>
      <c r="AH96" t="str">
        <f t="shared" si="52"/>
        <v xml:space="preserve"> 32.0% </v>
      </c>
      <c r="AI96" t="s">
        <v>371</v>
      </c>
      <c r="AK96" t="str">
        <f t="shared" si="53"/>
        <v xml:space="preserve"> Partner / interconnect assurance </v>
      </c>
      <c r="AL96" t="str">
        <f t="shared" si="54"/>
        <v xml:space="preserve"> 30.0% </v>
      </c>
      <c r="AM96" t="s">
        <v>563</v>
      </c>
      <c r="AN96" t="s">
        <v>0</v>
      </c>
      <c r="AO96" t="str">
        <f t="shared" si="55"/>
        <v xml:space="preserve"> 25.0% </v>
      </c>
      <c r="AP96" t="s">
        <v>1002</v>
      </c>
      <c r="AQ96" t="str">
        <f t="shared" si="56"/>
        <v xml:space="preserve"> Partner / interconnect assurance </v>
      </c>
      <c r="AR96" t="str">
        <f t="shared" si="57"/>
        <v xml:space="preserve"> 26.0% </v>
      </c>
      <c r="AS96" t="s">
        <v>247</v>
      </c>
      <c r="AT96" t="str">
        <f t="shared" si="58"/>
        <v xml:space="preserve"> Partner / interconnect assurance </v>
      </c>
      <c r="AU96" t="str">
        <f t="shared" si="59"/>
        <v xml:space="preserve"> 38.0% </v>
      </c>
      <c r="AV96" t="s">
        <v>1165</v>
      </c>
      <c r="AW96" t="str">
        <f t="shared" si="60"/>
        <v>Partner / interconnect assurance</v>
      </c>
      <c r="AX96" t="str">
        <f t="shared" si="61"/>
        <v xml:space="preserve"> 30.0% </v>
      </c>
    </row>
    <row r="97" spans="1:50" x14ac:dyDescent="0.45">
      <c r="A97" t="s">
        <v>88</v>
      </c>
      <c r="B97" t="str">
        <f t="shared" si="31"/>
        <v xml:space="preserve"> Wholesale / roaming </v>
      </c>
      <c r="C97" t="str">
        <f t="shared" si="32"/>
        <v xml:space="preserve"> 40.0% </v>
      </c>
      <c r="D97" t="s">
        <v>253</v>
      </c>
      <c r="E97" t="str">
        <f t="shared" si="33"/>
        <v xml:space="preserve"> Wholesale / roaming </v>
      </c>
      <c r="F97" t="str">
        <f t="shared" si="34"/>
        <v xml:space="preserve"> 22.0% </v>
      </c>
      <c r="G97" t="s">
        <v>82</v>
      </c>
      <c r="H97" t="str">
        <f t="shared" si="35"/>
        <v xml:space="preserve"> Wholesale / roaming </v>
      </c>
      <c r="I97" t="str">
        <f t="shared" si="36"/>
        <v xml:space="preserve"> 30.0% </v>
      </c>
      <c r="J97" t="s">
        <v>372</v>
      </c>
      <c r="K97" t="str">
        <f t="shared" si="37"/>
        <v xml:space="preserve"> Wholesale / roaming </v>
      </c>
      <c r="L97" t="str">
        <f t="shared" si="38"/>
        <v xml:space="preserve"> 25.0% </v>
      </c>
      <c r="M97" t="s">
        <v>465</v>
      </c>
      <c r="N97" t="str">
        <f t="shared" si="39"/>
        <v xml:space="preserve"> Wholesale / roaming </v>
      </c>
      <c r="O97" t="str">
        <f t="shared" si="40"/>
        <v xml:space="preserve"> 33.0% </v>
      </c>
      <c r="P97" t="s">
        <v>626</v>
      </c>
      <c r="Q97" t="str">
        <f t="shared" si="41"/>
        <v xml:space="preserve"> Wholesale / roaming </v>
      </c>
      <c r="R97" t="str">
        <f t="shared" si="42"/>
        <v xml:space="preserve"> 50.0% </v>
      </c>
      <c r="S97" t="s">
        <v>88</v>
      </c>
      <c r="T97" t="str">
        <f t="shared" si="43"/>
        <v xml:space="preserve"> Wholesale / roaming </v>
      </c>
      <c r="U97" t="str">
        <f t="shared" si="44"/>
        <v xml:space="preserve"> 40.0% </v>
      </c>
      <c r="V97" t="s">
        <v>735</v>
      </c>
      <c r="W97" t="str">
        <f t="shared" si="45"/>
        <v xml:space="preserve"> Wholesale / roaming </v>
      </c>
      <c r="X97" t="str">
        <f t="shared" si="46"/>
        <v xml:space="preserve"> 60.0% </v>
      </c>
      <c r="Y97" t="s">
        <v>88</v>
      </c>
      <c r="Z97" t="str">
        <f t="shared" si="47"/>
        <v xml:space="preserve"> Wholesale / roaming </v>
      </c>
      <c r="AA97" t="str">
        <f t="shared" si="48"/>
        <v xml:space="preserve"> 40.0% </v>
      </c>
      <c r="AB97" t="s">
        <v>626</v>
      </c>
      <c r="AC97" t="str">
        <f t="shared" si="49"/>
        <v xml:space="preserve"> Wholesale / roaming </v>
      </c>
      <c r="AD97" t="str">
        <f t="shared" si="50"/>
        <v xml:space="preserve"> 50.0% </v>
      </c>
      <c r="AF97" t="s">
        <v>867</v>
      </c>
      <c r="AG97" t="str">
        <f t="shared" si="51"/>
        <v xml:space="preserve"> Wholesale / roaming </v>
      </c>
      <c r="AH97" t="str">
        <f t="shared" si="52"/>
        <v xml:space="preserve"> 26.0% </v>
      </c>
      <c r="AI97" t="s">
        <v>88</v>
      </c>
      <c r="AK97" t="str">
        <f t="shared" si="53"/>
        <v xml:space="preserve"> Wholesale / roaming </v>
      </c>
      <c r="AL97" t="str">
        <f t="shared" si="54"/>
        <v xml:space="preserve"> 40.0% </v>
      </c>
      <c r="AM97" t="s">
        <v>82</v>
      </c>
      <c r="AN97" t="s">
        <v>0</v>
      </c>
      <c r="AO97" t="str">
        <f t="shared" si="55"/>
        <v xml:space="preserve"> 30.0% </v>
      </c>
      <c r="AP97" t="s">
        <v>459</v>
      </c>
      <c r="AQ97" t="str">
        <f t="shared" si="56"/>
        <v xml:space="preserve"> Wholesale / roaming </v>
      </c>
      <c r="AR97" t="str">
        <f t="shared" si="57"/>
        <v xml:space="preserve"> 27.0% </v>
      </c>
      <c r="AS97" t="s">
        <v>82</v>
      </c>
      <c r="AT97" t="str">
        <f t="shared" si="58"/>
        <v xml:space="preserve"> Wholesale / roaming </v>
      </c>
      <c r="AU97" t="str">
        <f t="shared" si="59"/>
        <v xml:space="preserve"> 30.0% </v>
      </c>
      <c r="AV97" t="s">
        <v>1166</v>
      </c>
      <c r="AW97" t="str">
        <f t="shared" si="60"/>
        <v>Wholesale / roaming</v>
      </c>
      <c r="AX97" t="str">
        <f t="shared" si="61"/>
        <v xml:space="preserve"> 25.0% </v>
      </c>
    </row>
    <row r="98" spans="1:50" x14ac:dyDescent="0.45">
      <c r="A98" t="s">
        <v>89</v>
      </c>
      <c r="B98" t="str">
        <f t="shared" si="31"/>
        <v xml:space="preserve"> Customer impact analysis </v>
      </c>
      <c r="C98" t="str">
        <f t="shared" si="32"/>
        <v xml:space="preserve"> 15.0% </v>
      </c>
      <c r="D98" t="s">
        <v>254</v>
      </c>
      <c r="E98" t="str">
        <f t="shared" si="33"/>
        <v xml:space="preserve"> Customer impact analysis </v>
      </c>
      <c r="F98" t="str">
        <f t="shared" si="34"/>
        <v xml:space="preserve"> 24.0% </v>
      </c>
      <c r="G98" t="s">
        <v>89</v>
      </c>
      <c r="H98" t="str">
        <f t="shared" si="35"/>
        <v xml:space="preserve"> Customer impact analysis </v>
      </c>
      <c r="I98" t="str">
        <f t="shared" si="36"/>
        <v xml:space="preserve"> 15.0% </v>
      </c>
      <c r="J98" t="s">
        <v>373</v>
      </c>
      <c r="K98" t="str">
        <f t="shared" si="37"/>
        <v xml:space="preserve"> Customer impact analysis </v>
      </c>
      <c r="L98" t="str">
        <f t="shared" si="38"/>
        <v xml:space="preserve"> 20.0% </v>
      </c>
      <c r="M98" t="s">
        <v>466</v>
      </c>
      <c r="N98" t="str">
        <f t="shared" si="39"/>
        <v xml:space="preserve"> Customer impact analysis </v>
      </c>
      <c r="O98" t="str">
        <f t="shared" si="40"/>
        <v xml:space="preserve"> 19.0% </v>
      </c>
      <c r="P98" t="s">
        <v>248</v>
      </c>
      <c r="Q98" t="str">
        <f t="shared" si="41"/>
        <v xml:space="preserve"> Customer impact analysis </v>
      </c>
      <c r="R98" t="str">
        <f t="shared" si="42"/>
        <v xml:space="preserve"> 28.0% </v>
      </c>
      <c r="S98" t="s">
        <v>373</v>
      </c>
      <c r="T98" t="str">
        <f t="shared" si="43"/>
        <v xml:space="preserve"> Customer impact analysis </v>
      </c>
      <c r="U98" t="str">
        <f t="shared" si="44"/>
        <v xml:space="preserve"> 20.0% </v>
      </c>
      <c r="V98" t="s">
        <v>377</v>
      </c>
      <c r="W98" t="str">
        <f t="shared" si="45"/>
        <v xml:space="preserve"> Customer impact analysis </v>
      </c>
      <c r="X98" t="str">
        <f t="shared" si="46"/>
        <v xml:space="preserve"> 40.0% </v>
      </c>
      <c r="Y98" t="s">
        <v>83</v>
      </c>
      <c r="Z98" t="str">
        <f t="shared" si="47"/>
        <v xml:space="preserve"> Customer impact analysis </v>
      </c>
      <c r="AA98" t="str">
        <f t="shared" si="48"/>
        <v xml:space="preserve"> 25.0% </v>
      </c>
      <c r="AB98" t="s">
        <v>788</v>
      </c>
      <c r="AC98" t="str">
        <f t="shared" si="49"/>
        <v xml:space="preserve"> Customer impact analysis </v>
      </c>
      <c r="AD98" t="str">
        <f t="shared" si="50"/>
        <v xml:space="preserve"> 30.0% </v>
      </c>
      <c r="AF98" t="s">
        <v>868</v>
      </c>
      <c r="AG98" t="str">
        <f t="shared" si="51"/>
        <v xml:space="preserve"> Customer impact analysis </v>
      </c>
      <c r="AH98" t="str">
        <f t="shared" si="52"/>
        <v xml:space="preserve"> 42.0% </v>
      </c>
      <c r="AI98" t="s">
        <v>89</v>
      </c>
      <c r="AK98" t="str">
        <f t="shared" si="53"/>
        <v xml:space="preserve"> Customer impact analysis </v>
      </c>
      <c r="AL98" t="str">
        <f t="shared" si="54"/>
        <v xml:space="preserve"> 15.0% </v>
      </c>
      <c r="AM98" t="s">
        <v>89</v>
      </c>
      <c r="AN98" t="s">
        <v>0</v>
      </c>
      <c r="AO98" t="str">
        <f t="shared" si="55"/>
        <v xml:space="preserve"> 15.0% </v>
      </c>
      <c r="AP98" t="s">
        <v>788</v>
      </c>
      <c r="AQ98" t="str">
        <f t="shared" si="56"/>
        <v xml:space="preserve"> Customer impact analysis </v>
      </c>
      <c r="AR98" t="str">
        <f t="shared" si="57"/>
        <v xml:space="preserve"> 30.0% </v>
      </c>
      <c r="AS98" t="s">
        <v>259</v>
      </c>
      <c r="AT98" t="str">
        <f t="shared" si="58"/>
        <v xml:space="preserve"> Customer impact analysis </v>
      </c>
      <c r="AU98" t="str">
        <f t="shared" si="59"/>
        <v xml:space="preserve"> 36.0% </v>
      </c>
      <c r="AV98" t="s">
        <v>1167</v>
      </c>
      <c r="AW98" t="str">
        <f t="shared" si="60"/>
        <v>Customer impact analysis</v>
      </c>
      <c r="AX98" t="str">
        <f t="shared" si="61"/>
        <v xml:space="preserve"> 25.0% </v>
      </c>
    </row>
    <row r="99" spans="1:50" x14ac:dyDescent="0.45">
      <c r="A99" t="s">
        <v>65</v>
      </c>
      <c r="B99" t="str">
        <f t="shared" si="31"/>
        <v xml:space="preserve"> Other </v>
      </c>
      <c r="C99" t="str">
        <f t="shared" si="32"/>
        <v xml:space="preserve"> 2.0% </v>
      </c>
      <c r="D99" t="s">
        <v>255</v>
      </c>
      <c r="E99" t="str">
        <f t="shared" si="33"/>
        <v xml:space="preserve"> Other </v>
      </c>
      <c r="F99" t="str">
        <f t="shared" si="34"/>
        <v xml:space="preserve"> 7.0% </v>
      </c>
      <c r="G99" t="s">
        <v>255</v>
      </c>
      <c r="H99" t="str">
        <f t="shared" si="35"/>
        <v xml:space="preserve"> Other </v>
      </c>
      <c r="I99" t="str">
        <f t="shared" si="36"/>
        <v xml:space="preserve"> 7.0% </v>
      </c>
      <c r="J99" t="s">
        <v>76</v>
      </c>
      <c r="K99" t="str">
        <f t="shared" si="37"/>
        <v xml:space="preserve"> Other </v>
      </c>
      <c r="L99" t="str">
        <f t="shared" si="38"/>
        <v xml:space="preserve"> 5.0% </v>
      </c>
      <c r="M99" t="s">
        <v>76</v>
      </c>
      <c r="N99" t="str">
        <f t="shared" si="39"/>
        <v xml:space="preserve"> Other </v>
      </c>
      <c r="O99" t="str">
        <f t="shared" si="40"/>
        <v xml:space="preserve"> 5.0% </v>
      </c>
      <c r="P99" t="s">
        <v>233</v>
      </c>
      <c r="Q99" t="str">
        <f t="shared" si="41"/>
        <v xml:space="preserve"> Other </v>
      </c>
      <c r="R99" t="str">
        <f t="shared" si="42"/>
        <v xml:space="preserve"> 6.0% </v>
      </c>
      <c r="S99" t="s">
        <v>275</v>
      </c>
      <c r="T99" t="str">
        <f t="shared" si="43"/>
        <v xml:space="preserve"> Other </v>
      </c>
      <c r="U99" t="str">
        <f t="shared" si="44"/>
        <v xml:space="preserve"> 8.0% </v>
      </c>
      <c r="V99" t="s">
        <v>96</v>
      </c>
      <c r="W99" t="str">
        <f t="shared" si="45"/>
        <v xml:space="preserve"> Other </v>
      </c>
      <c r="X99" t="str">
        <f t="shared" si="46"/>
        <v xml:space="preserve"> 10.0% </v>
      </c>
      <c r="Y99" t="s">
        <v>275</v>
      </c>
      <c r="Z99" t="str">
        <f t="shared" si="47"/>
        <v xml:space="preserve"> Other </v>
      </c>
      <c r="AA99" t="str">
        <f t="shared" si="48"/>
        <v xml:space="preserve"> 8.0% </v>
      </c>
      <c r="AB99" t="s">
        <v>76</v>
      </c>
      <c r="AC99" t="str">
        <f t="shared" si="49"/>
        <v xml:space="preserve"> Other </v>
      </c>
      <c r="AD99" t="str">
        <f t="shared" si="50"/>
        <v xml:space="preserve"> 5.0% </v>
      </c>
      <c r="AF99" t="s">
        <v>76</v>
      </c>
      <c r="AG99" t="str">
        <f t="shared" si="51"/>
        <v xml:space="preserve"> Other </v>
      </c>
      <c r="AH99" t="str">
        <f t="shared" si="52"/>
        <v xml:space="preserve"> 5.0% </v>
      </c>
      <c r="AI99" t="s">
        <v>297</v>
      </c>
      <c r="AK99" t="str">
        <f t="shared" si="53"/>
        <v xml:space="preserve"> Other </v>
      </c>
      <c r="AL99" t="str">
        <f t="shared" si="54"/>
        <v xml:space="preserve"> 4.0% </v>
      </c>
      <c r="AM99" t="s">
        <v>65</v>
      </c>
      <c r="AN99" t="s">
        <v>0</v>
      </c>
      <c r="AO99" t="str">
        <f t="shared" si="55"/>
        <v xml:space="preserve"> 2.0% </v>
      </c>
      <c r="AP99" t="s">
        <v>275</v>
      </c>
      <c r="AQ99" t="str">
        <f t="shared" si="56"/>
        <v xml:space="preserve"> Other </v>
      </c>
      <c r="AR99" t="str">
        <f t="shared" si="57"/>
        <v xml:space="preserve"> 8.0% </v>
      </c>
      <c r="AS99" t="s">
        <v>275</v>
      </c>
      <c r="AT99" t="str">
        <f t="shared" si="58"/>
        <v xml:space="preserve"> Other </v>
      </c>
      <c r="AU99" t="str">
        <f t="shared" si="59"/>
        <v xml:space="preserve"> 8.0% </v>
      </c>
      <c r="AV99" t="s">
        <v>1154</v>
      </c>
      <c r="AW99" t="str">
        <f t="shared" si="60"/>
        <v>Other</v>
      </c>
      <c r="AX99" t="str">
        <f t="shared" si="61"/>
        <v xml:space="preserve"> 10.0% </v>
      </c>
    </row>
    <row r="100" spans="1:50" x14ac:dyDescent="0.45">
      <c r="A100" t="s">
        <v>53</v>
      </c>
      <c r="B100" t="str">
        <f t="shared" si="31"/>
        <v/>
      </c>
      <c r="C100" t="str">
        <f t="shared" si="32"/>
        <v/>
      </c>
      <c r="D100" t="s">
        <v>222</v>
      </c>
      <c r="E100" t="str">
        <f t="shared" si="33"/>
        <v/>
      </c>
      <c r="F100" t="str">
        <f t="shared" si="34"/>
        <v/>
      </c>
      <c r="G100" t="s">
        <v>53</v>
      </c>
      <c r="H100" t="str">
        <f t="shared" si="35"/>
        <v/>
      </c>
      <c r="I100" t="str">
        <f t="shared" si="36"/>
        <v/>
      </c>
      <c r="J100" t="s">
        <v>53</v>
      </c>
      <c r="K100" t="str">
        <f t="shared" si="37"/>
        <v/>
      </c>
      <c r="L100" t="str">
        <f t="shared" si="38"/>
        <v/>
      </c>
      <c r="M100" t="s">
        <v>53</v>
      </c>
      <c r="N100" t="str">
        <f t="shared" si="39"/>
        <v/>
      </c>
      <c r="O100" t="str">
        <f t="shared" si="40"/>
        <v/>
      </c>
      <c r="P100" t="s">
        <v>53</v>
      </c>
      <c r="Q100" t="str">
        <f t="shared" si="41"/>
        <v/>
      </c>
      <c r="R100" t="str">
        <f t="shared" si="42"/>
        <v/>
      </c>
      <c r="S100" t="s">
        <v>53</v>
      </c>
      <c r="T100" t="str">
        <f t="shared" si="43"/>
        <v/>
      </c>
      <c r="U100" t="str">
        <f t="shared" si="44"/>
        <v/>
      </c>
      <c r="V100" t="s">
        <v>53</v>
      </c>
      <c r="W100" t="str">
        <f t="shared" si="45"/>
        <v/>
      </c>
      <c r="X100" t="str">
        <f t="shared" si="46"/>
        <v/>
      </c>
      <c r="Y100" t="s">
        <v>53</v>
      </c>
      <c r="Z100" t="str">
        <f t="shared" si="47"/>
        <v/>
      </c>
      <c r="AA100" t="str">
        <f t="shared" si="48"/>
        <v/>
      </c>
      <c r="AB100" t="s">
        <v>53</v>
      </c>
      <c r="AC100" t="str">
        <f t="shared" si="49"/>
        <v/>
      </c>
      <c r="AD100" t="str">
        <f t="shared" si="50"/>
        <v/>
      </c>
      <c r="AF100" t="s">
        <v>53</v>
      </c>
      <c r="AG100" t="str">
        <f t="shared" si="51"/>
        <v/>
      </c>
      <c r="AH100" t="str">
        <f t="shared" si="52"/>
        <v/>
      </c>
      <c r="AI100" t="s">
        <v>53</v>
      </c>
      <c r="AK100" t="str">
        <f t="shared" si="53"/>
        <v/>
      </c>
      <c r="AL100" t="str">
        <f t="shared" si="54"/>
        <v/>
      </c>
      <c r="AM100" t="s">
        <v>53</v>
      </c>
      <c r="AN100" t="s">
        <v>0</v>
      </c>
      <c r="AO100" t="str">
        <f t="shared" si="55"/>
        <v/>
      </c>
      <c r="AP100" t="s">
        <v>53</v>
      </c>
      <c r="AQ100" t="str">
        <f t="shared" si="56"/>
        <v/>
      </c>
      <c r="AR100" t="str">
        <f t="shared" si="57"/>
        <v/>
      </c>
      <c r="AS100" t="s">
        <v>53</v>
      </c>
      <c r="AT100" t="str">
        <f t="shared" si="58"/>
        <v/>
      </c>
      <c r="AU100" t="str">
        <f t="shared" si="59"/>
        <v/>
      </c>
      <c r="AV100" t="s">
        <v>1130</v>
      </c>
      <c r="AW100" t="str">
        <f t="shared" si="60"/>
        <v/>
      </c>
      <c r="AX100" t="str">
        <f t="shared" si="61"/>
        <v/>
      </c>
    </row>
    <row r="101" spans="1:50" x14ac:dyDescent="0.45">
      <c r="A101" t="s">
        <v>90</v>
      </c>
      <c r="B101" t="str">
        <f t="shared" si="31"/>
        <v xml:space="preserve"> Revenue leakage detection </v>
      </c>
      <c r="C101" t="str">
        <f t="shared" si="32"/>
        <v xml:space="preserve"> 40.0% </v>
      </c>
      <c r="D101" t="s">
        <v>256</v>
      </c>
      <c r="E101" t="str">
        <f t="shared" si="33"/>
        <v xml:space="preserve"> Revenue leakage detection </v>
      </c>
      <c r="F101" t="str">
        <f t="shared" si="34"/>
        <v xml:space="preserve"> 42.0% </v>
      </c>
      <c r="G101" t="s">
        <v>568</v>
      </c>
      <c r="H101" t="str">
        <f t="shared" si="35"/>
        <v xml:space="preserve"> Revenue leakage detection </v>
      </c>
      <c r="I101" t="str">
        <f t="shared" si="36"/>
        <v xml:space="preserve"> 35.0% </v>
      </c>
      <c r="J101" t="s">
        <v>374</v>
      </c>
      <c r="K101" t="str">
        <f t="shared" si="37"/>
        <v xml:space="preserve"> Revenue leakage detection </v>
      </c>
      <c r="L101" t="str">
        <f t="shared" si="38"/>
        <v xml:space="preserve"> 30.0% </v>
      </c>
      <c r="M101" t="s">
        <v>467</v>
      </c>
      <c r="N101" t="str">
        <f t="shared" si="39"/>
        <v xml:space="preserve"> Revenue leakage detection </v>
      </c>
      <c r="O101" t="str">
        <f t="shared" si="40"/>
        <v xml:space="preserve"> 27.0% </v>
      </c>
      <c r="P101" t="s">
        <v>90</v>
      </c>
      <c r="Q101" t="str">
        <f t="shared" si="41"/>
        <v xml:space="preserve"> Revenue leakage detection </v>
      </c>
      <c r="R101" t="str">
        <f t="shared" si="42"/>
        <v xml:space="preserve"> 40.0% </v>
      </c>
      <c r="S101" t="s">
        <v>568</v>
      </c>
      <c r="T101" t="str">
        <f t="shared" si="43"/>
        <v xml:space="preserve"> Revenue leakage detection </v>
      </c>
      <c r="U101" t="str">
        <f t="shared" si="44"/>
        <v xml:space="preserve"> 35.0% </v>
      </c>
      <c r="V101" t="s">
        <v>736</v>
      </c>
      <c r="W101" t="str">
        <f t="shared" si="45"/>
        <v xml:space="preserve"> Revenue leakage detection </v>
      </c>
      <c r="X101" t="str">
        <f t="shared" si="46"/>
        <v xml:space="preserve"> 60.0% </v>
      </c>
      <c r="Y101" t="s">
        <v>374</v>
      </c>
      <c r="Z101" t="str">
        <f t="shared" si="47"/>
        <v xml:space="preserve"> Revenue leakage detection </v>
      </c>
      <c r="AA101" t="str">
        <f t="shared" si="48"/>
        <v xml:space="preserve"> 30.0% </v>
      </c>
      <c r="AB101" t="s">
        <v>90</v>
      </c>
      <c r="AC101" t="str">
        <f t="shared" si="49"/>
        <v xml:space="preserve"> Revenue leakage detection </v>
      </c>
      <c r="AD101" t="str">
        <f t="shared" si="50"/>
        <v xml:space="preserve"> 40.0% </v>
      </c>
      <c r="AF101" t="s">
        <v>869</v>
      </c>
      <c r="AG101" t="str">
        <f t="shared" si="51"/>
        <v xml:space="preserve"> Revenue leakage detection </v>
      </c>
      <c r="AH101" t="str">
        <f t="shared" si="52"/>
        <v xml:space="preserve"> 32.0% </v>
      </c>
      <c r="AI101" t="s">
        <v>374</v>
      </c>
      <c r="AK101" t="str">
        <f t="shared" si="53"/>
        <v xml:space="preserve"> Revenue leakage detection </v>
      </c>
      <c r="AL101" t="str">
        <f t="shared" si="54"/>
        <v xml:space="preserve"> 30.0% </v>
      </c>
      <c r="AM101" t="s">
        <v>928</v>
      </c>
      <c r="AN101" t="s">
        <v>0</v>
      </c>
      <c r="AO101" t="str">
        <f t="shared" si="55"/>
        <v xml:space="preserve"> 45.0% </v>
      </c>
      <c r="AP101" t="s">
        <v>568</v>
      </c>
      <c r="AQ101" t="str">
        <f t="shared" si="56"/>
        <v xml:space="preserve"> Revenue leakage detection </v>
      </c>
      <c r="AR101" t="str">
        <f t="shared" si="57"/>
        <v xml:space="preserve"> 35.0% </v>
      </c>
      <c r="AS101" t="s">
        <v>733</v>
      </c>
      <c r="AT101" t="str">
        <f t="shared" si="58"/>
        <v xml:space="preserve"> Revenue leakage detection </v>
      </c>
      <c r="AU101" t="str">
        <f t="shared" si="59"/>
        <v xml:space="preserve"> 50.0% </v>
      </c>
      <c r="AV101" t="s">
        <v>1168</v>
      </c>
      <c r="AW101" t="str">
        <f t="shared" si="60"/>
        <v>Revenue leakage detection</v>
      </c>
      <c r="AX101" t="str">
        <f t="shared" si="61"/>
        <v xml:space="preserve"> 35.0% </v>
      </c>
    </row>
    <row r="102" spans="1:50" x14ac:dyDescent="0.45">
      <c r="A102" t="s">
        <v>91</v>
      </c>
      <c r="B102" t="str">
        <f t="shared" si="31"/>
        <v xml:space="preserve"> Fraud detection </v>
      </c>
      <c r="C102" t="str">
        <f t="shared" si="32"/>
        <v xml:space="preserve"> 30.0% </v>
      </c>
      <c r="D102" t="s">
        <v>79</v>
      </c>
      <c r="E102" t="str">
        <f t="shared" si="33"/>
        <v xml:space="preserve"> Fraud detection </v>
      </c>
      <c r="F102" t="str">
        <f t="shared" si="34"/>
        <v xml:space="preserve"> 40.0% </v>
      </c>
      <c r="G102" t="s">
        <v>79</v>
      </c>
      <c r="H102" t="str">
        <f t="shared" si="35"/>
        <v xml:space="preserve"> Fraud detection </v>
      </c>
      <c r="I102" t="str">
        <f t="shared" si="36"/>
        <v xml:space="preserve"> 40.0% </v>
      </c>
      <c r="J102" t="s">
        <v>375</v>
      </c>
      <c r="K102" t="str">
        <f t="shared" si="37"/>
        <v xml:space="preserve"> Fraud detection </v>
      </c>
      <c r="L102" t="str">
        <f t="shared" si="38"/>
        <v xml:space="preserve"> 25.0% </v>
      </c>
      <c r="M102" t="s">
        <v>468</v>
      </c>
      <c r="N102" t="str">
        <f t="shared" si="39"/>
        <v xml:space="preserve"> Fraud detection </v>
      </c>
      <c r="O102" t="str">
        <f t="shared" si="40"/>
        <v xml:space="preserve"> 22.0% </v>
      </c>
      <c r="P102" t="s">
        <v>627</v>
      </c>
      <c r="Q102" t="str">
        <f t="shared" si="41"/>
        <v xml:space="preserve"> Fraud detection </v>
      </c>
      <c r="R102" t="str">
        <f t="shared" si="42"/>
        <v xml:space="preserve"> 45.0% </v>
      </c>
      <c r="S102" t="s">
        <v>690</v>
      </c>
      <c r="T102" t="str">
        <f t="shared" si="43"/>
        <v xml:space="preserve"> Fraud detection </v>
      </c>
      <c r="U102" t="str">
        <f t="shared" si="44"/>
        <v xml:space="preserve"> 38.0% </v>
      </c>
      <c r="V102" t="s">
        <v>737</v>
      </c>
      <c r="W102" t="str">
        <f t="shared" si="45"/>
        <v xml:space="preserve"> Fraud detection </v>
      </c>
      <c r="X102" t="str">
        <f t="shared" si="46"/>
        <v xml:space="preserve"> 50.0% </v>
      </c>
      <c r="Y102" t="s">
        <v>79</v>
      </c>
      <c r="Z102" t="str">
        <f t="shared" si="47"/>
        <v xml:space="preserve"> Fraud detection </v>
      </c>
      <c r="AA102" t="str">
        <f t="shared" si="48"/>
        <v xml:space="preserve"> 40.0% </v>
      </c>
      <c r="AB102" t="s">
        <v>91</v>
      </c>
      <c r="AC102" t="str">
        <f t="shared" si="49"/>
        <v xml:space="preserve"> Fraud detection </v>
      </c>
      <c r="AD102" t="str">
        <f t="shared" si="50"/>
        <v xml:space="preserve"> 30.0% </v>
      </c>
      <c r="AF102" t="s">
        <v>870</v>
      </c>
      <c r="AG102" t="str">
        <f t="shared" si="51"/>
        <v xml:space="preserve"> Fraud detection </v>
      </c>
      <c r="AH102" t="str">
        <f t="shared" si="52"/>
        <v xml:space="preserve"> 54.0% </v>
      </c>
      <c r="AI102" t="s">
        <v>91</v>
      </c>
      <c r="AK102" t="str">
        <f t="shared" si="53"/>
        <v xml:space="preserve"> Fraud detection </v>
      </c>
      <c r="AL102" t="str">
        <f t="shared" si="54"/>
        <v xml:space="preserve"> 30.0% </v>
      </c>
      <c r="AM102" t="s">
        <v>79</v>
      </c>
      <c r="AN102" t="s">
        <v>0</v>
      </c>
      <c r="AO102" t="str">
        <f t="shared" si="55"/>
        <v xml:space="preserve"> 40.0% </v>
      </c>
      <c r="AP102" t="s">
        <v>91</v>
      </c>
      <c r="AQ102" t="str">
        <f t="shared" si="56"/>
        <v xml:space="preserve"> Fraud detection </v>
      </c>
      <c r="AR102" t="str">
        <f t="shared" si="57"/>
        <v xml:space="preserve"> 30.0% </v>
      </c>
      <c r="AS102" t="s">
        <v>91</v>
      </c>
      <c r="AT102" t="str">
        <f t="shared" si="58"/>
        <v xml:space="preserve"> Fraud detection </v>
      </c>
      <c r="AU102" t="str">
        <f t="shared" si="59"/>
        <v xml:space="preserve"> 30.0% </v>
      </c>
      <c r="AV102" t="s">
        <v>1169</v>
      </c>
      <c r="AW102" t="str">
        <f t="shared" si="60"/>
        <v>Fraud detection</v>
      </c>
      <c r="AX102" t="str">
        <f t="shared" si="61"/>
        <v xml:space="preserve"> 25.0% </v>
      </c>
    </row>
    <row r="103" spans="1:50" x14ac:dyDescent="0.45">
      <c r="A103" t="s">
        <v>92</v>
      </c>
      <c r="B103" t="str">
        <f t="shared" si="31"/>
        <v xml:space="preserve"> Data quality &amp; reconciliation </v>
      </c>
      <c r="C103" t="str">
        <f t="shared" si="32"/>
        <v xml:space="preserve"> 70.0% </v>
      </c>
      <c r="D103" t="s">
        <v>257</v>
      </c>
      <c r="E103" t="str">
        <f t="shared" si="33"/>
        <v xml:space="preserve"> Data quality &amp; reconciliation </v>
      </c>
      <c r="F103" t="str">
        <f t="shared" si="34"/>
        <v xml:space="preserve"> 50.0% </v>
      </c>
      <c r="G103" t="s">
        <v>376</v>
      </c>
      <c r="H103" t="str">
        <f t="shared" si="35"/>
        <v xml:space="preserve"> Data quality &amp; reconciliation </v>
      </c>
      <c r="I103" t="str">
        <f t="shared" si="36"/>
        <v xml:space="preserve"> 45.0% </v>
      </c>
      <c r="J103" t="s">
        <v>376</v>
      </c>
      <c r="K103" t="str">
        <f t="shared" si="37"/>
        <v xml:space="preserve"> Data quality &amp; reconciliation </v>
      </c>
      <c r="L103" t="str">
        <f t="shared" si="38"/>
        <v xml:space="preserve"> 45.0% </v>
      </c>
      <c r="M103" t="s">
        <v>469</v>
      </c>
      <c r="N103" t="str">
        <f t="shared" si="39"/>
        <v xml:space="preserve"> Data quality &amp; reconciliation </v>
      </c>
      <c r="O103" t="str">
        <f t="shared" si="40"/>
        <v xml:space="preserve"> 46.0% </v>
      </c>
      <c r="P103" t="s">
        <v>257</v>
      </c>
      <c r="Q103" t="str">
        <f t="shared" si="41"/>
        <v xml:space="preserve"> Data quality &amp; reconciliation </v>
      </c>
      <c r="R103" t="str">
        <f t="shared" si="42"/>
        <v xml:space="preserve"> 50.0% </v>
      </c>
      <c r="S103" t="s">
        <v>691</v>
      </c>
      <c r="T103" t="str">
        <f t="shared" si="43"/>
        <v xml:space="preserve"> Data quality &amp; reconciliation </v>
      </c>
      <c r="U103" t="str">
        <f t="shared" si="44"/>
        <v xml:space="preserve"> 48.0% </v>
      </c>
      <c r="V103" t="s">
        <v>738</v>
      </c>
      <c r="W103" t="str">
        <f t="shared" si="45"/>
        <v xml:space="preserve"> Data quality &amp; reconciliation </v>
      </c>
      <c r="X103" t="str">
        <f t="shared" si="46"/>
        <v xml:space="preserve"> 65.0% </v>
      </c>
      <c r="Y103" t="s">
        <v>376</v>
      </c>
      <c r="Z103" t="str">
        <f t="shared" si="47"/>
        <v xml:space="preserve"> Data quality &amp; reconciliation </v>
      </c>
      <c r="AA103" t="str">
        <f t="shared" si="48"/>
        <v xml:space="preserve"> 45.0% </v>
      </c>
      <c r="AB103" t="s">
        <v>257</v>
      </c>
      <c r="AC103" t="str">
        <f t="shared" si="49"/>
        <v xml:space="preserve"> Data quality &amp; reconciliation </v>
      </c>
      <c r="AD103" t="str">
        <f t="shared" si="50"/>
        <v xml:space="preserve"> 50.0% </v>
      </c>
      <c r="AF103" t="s">
        <v>457</v>
      </c>
      <c r="AG103" t="str">
        <f t="shared" si="51"/>
        <v xml:space="preserve"> Data quality &amp; reconciliation </v>
      </c>
      <c r="AH103" t="str">
        <f t="shared" si="52"/>
        <v xml:space="preserve"> 52.0% </v>
      </c>
      <c r="AI103" t="s">
        <v>376</v>
      </c>
      <c r="AK103" t="str">
        <f t="shared" si="53"/>
        <v xml:space="preserve"> Data quality &amp; reconciliation </v>
      </c>
      <c r="AL103" t="str">
        <f t="shared" si="54"/>
        <v xml:space="preserve"> 45.0% </v>
      </c>
      <c r="AM103" t="s">
        <v>80</v>
      </c>
      <c r="AN103" t="s">
        <v>0</v>
      </c>
      <c r="AO103" t="str">
        <f t="shared" si="55"/>
        <v xml:space="preserve"> 60.0% </v>
      </c>
      <c r="AP103" t="s">
        <v>469</v>
      </c>
      <c r="AQ103" t="str">
        <f t="shared" si="56"/>
        <v xml:space="preserve"> Data quality &amp; reconciliation </v>
      </c>
      <c r="AR103" t="str">
        <f t="shared" si="57"/>
        <v xml:space="preserve"> 46.0% </v>
      </c>
      <c r="AS103" t="s">
        <v>691</v>
      </c>
      <c r="AT103" t="str">
        <f t="shared" si="58"/>
        <v xml:space="preserve"> Data quality &amp; reconciliation </v>
      </c>
      <c r="AU103" t="str">
        <f t="shared" si="59"/>
        <v xml:space="preserve"> 48.0% </v>
      </c>
      <c r="AV103" t="s">
        <v>1170</v>
      </c>
      <c r="AW103" t="str">
        <f t="shared" si="60"/>
        <v>Data quality &amp; reconciliation</v>
      </c>
      <c r="AX103" t="str">
        <f t="shared" si="61"/>
        <v xml:space="preserve"> 40.0% </v>
      </c>
    </row>
    <row r="104" spans="1:50" x14ac:dyDescent="0.45">
      <c r="A104" t="s">
        <v>93</v>
      </c>
      <c r="B104" t="str">
        <f t="shared" si="31"/>
        <v xml:space="preserve"> Partner / interconnect assurance </v>
      </c>
      <c r="C104" t="str">
        <f t="shared" si="32"/>
        <v xml:space="preserve"> 20.0% </v>
      </c>
      <c r="D104" t="s">
        <v>252</v>
      </c>
      <c r="E104" t="str">
        <f t="shared" si="33"/>
        <v xml:space="preserve"> Partner / interconnect assurance </v>
      </c>
      <c r="F104" t="str">
        <f t="shared" si="34"/>
        <v xml:space="preserve"> 28.0% </v>
      </c>
      <c r="G104" t="s">
        <v>93</v>
      </c>
      <c r="H104" t="str">
        <f t="shared" si="35"/>
        <v xml:space="preserve"> Partner / interconnect assurance </v>
      </c>
      <c r="I104" t="str">
        <f t="shared" si="36"/>
        <v xml:space="preserve"> 20.0% </v>
      </c>
      <c r="J104" t="s">
        <v>81</v>
      </c>
      <c r="K104" t="str">
        <f t="shared" si="37"/>
        <v xml:space="preserve"> Partner / interconnect assurance </v>
      </c>
      <c r="L104" t="str">
        <f t="shared" si="38"/>
        <v xml:space="preserve"> 35.0% </v>
      </c>
      <c r="M104" t="s">
        <v>470</v>
      </c>
      <c r="N104" t="str">
        <f t="shared" si="39"/>
        <v xml:space="preserve"> Partner / interconnect assurance </v>
      </c>
      <c r="O104" t="str">
        <f t="shared" si="40"/>
        <v xml:space="preserve"> 18.0% </v>
      </c>
      <c r="P104" t="s">
        <v>371</v>
      </c>
      <c r="Q104" t="str">
        <f t="shared" si="41"/>
        <v xml:space="preserve"> Partner / interconnect assurance </v>
      </c>
      <c r="R104" t="str">
        <f t="shared" si="42"/>
        <v xml:space="preserve"> 30.0% </v>
      </c>
      <c r="S104" t="s">
        <v>371</v>
      </c>
      <c r="T104" t="str">
        <f t="shared" si="43"/>
        <v xml:space="preserve"> Partner / interconnect assurance </v>
      </c>
      <c r="U104" t="str">
        <f t="shared" si="44"/>
        <v xml:space="preserve"> 30.0% </v>
      </c>
      <c r="V104" t="s">
        <v>366</v>
      </c>
      <c r="W104" t="str">
        <f t="shared" si="45"/>
        <v xml:space="preserve"> Partner / interconnect assurance </v>
      </c>
      <c r="X104" t="str">
        <f t="shared" si="46"/>
        <v xml:space="preserve"> 40.0% </v>
      </c>
      <c r="Y104" t="s">
        <v>563</v>
      </c>
      <c r="Z104" t="str">
        <f t="shared" si="47"/>
        <v xml:space="preserve"> Partner / interconnect assurance </v>
      </c>
      <c r="AA104" t="str">
        <f t="shared" si="48"/>
        <v xml:space="preserve"> 25.0% </v>
      </c>
      <c r="AB104" t="s">
        <v>81</v>
      </c>
      <c r="AC104" t="str">
        <f t="shared" si="49"/>
        <v xml:space="preserve"> Partner / interconnect assurance </v>
      </c>
      <c r="AD104" t="str">
        <f t="shared" si="50"/>
        <v xml:space="preserve"> 35.0% </v>
      </c>
      <c r="AF104" t="s">
        <v>871</v>
      </c>
      <c r="AG104" t="str">
        <f t="shared" si="51"/>
        <v xml:space="preserve"> Partner / interconnect assurance </v>
      </c>
      <c r="AH104" t="str">
        <f t="shared" si="52"/>
        <v xml:space="preserve"> 24.0% </v>
      </c>
      <c r="AI104" t="s">
        <v>960</v>
      </c>
      <c r="AK104" t="str">
        <f t="shared" si="53"/>
        <v xml:space="preserve"> Partner / interconnect assurance </v>
      </c>
      <c r="AL104" t="str">
        <f t="shared" si="54"/>
        <v xml:space="preserve"> 15.0% </v>
      </c>
      <c r="AM104" t="s">
        <v>81</v>
      </c>
      <c r="AN104" t="s">
        <v>0</v>
      </c>
      <c r="AO104" t="str">
        <f t="shared" si="55"/>
        <v xml:space="preserve"> 35.0% </v>
      </c>
      <c r="AP104" t="s">
        <v>567</v>
      </c>
      <c r="AQ104" t="str">
        <f t="shared" si="56"/>
        <v xml:space="preserve"> Partner / interconnect assurance </v>
      </c>
      <c r="AR104" t="str">
        <f t="shared" si="57"/>
        <v xml:space="preserve"> 22.0% </v>
      </c>
      <c r="AS104" t="s">
        <v>563</v>
      </c>
      <c r="AT104" t="str">
        <f t="shared" si="58"/>
        <v xml:space="preserve"> Partner / interconnect assurance </v>
      </c>
      <c r="AU104" t="str">
        <f t="shared" si="59"/>
        <v xml:space="preserve"> 25.0% </v>
      </c>
      <c r="AV104" t="s">
        <v>1159</v>
      </c>
      <c r="AW104" t="str">
        <f t="shared" si="60"/>
        <v>Partner / interconnect assurance</v>
      </c>
      <c r="AX104" t="str">
        <f t="shared" si="61"/>
        <v xml:space="preserve"> 25.0% </v>
      </c>
    </row>
    <row r="105" spans="1:50" x14ac:dyDescent="0.45">
      <c r="A105" t="s">
        <v>94</v>
      </c>
      <c r="B105" t="str">
        <f t="shared" si="31"/>
        <v xml:space="preserve"> Wholesale / roaming </v>
      </c>
      <c r="C105" t="str">
        <f t="shared" si="32"/>
        <v xml:space="preserve"> 15.0% </v>
      </c>
      <c r="D105" t="s">
        <v>258</v>
      </c>
      <c r="E105" t="str">
        <f t="shared" si="33"/>
        <v xml:space="preserve"> Wholesale / roaming </v>
      </c>
      <c r="F105" t="str">
        <f t="shared" si="34"/>
        <v xml:space="preserve"> 20.0% </v>
      </c>
      <c r="G105" t="s">
        <v>94</v>
      </c>
      <c r="H105" t="str">
        <f t="shared" si="35"/>
        <v xml:space="preserve"> Wholesale / roaming </v>
      </c>
      <c r="I105" t="str">
        <f t="shared" si="36"/>
        <v xml:space="preserve"> 15.0% </v>
      </c>
      <c r="J105" t="s">
        <v>82</v>
      </c>
      <c r="K105" t="str">
        <f t="shared" si="37"/>
        <v xml:space="preserve"> Wholesale / roaming </v>
      </c>
      <c r="L105" t="str">
        <f t="shared" si="38"/>
        <v xml:space="preserve"> 30.0% </v>
      </c>
      <c r="M105" t="s">
        <v>258</v>
      </c>
      <c r="N105" t="str">
        <f t="shared" si="39"/>
        <v xml:space="preserve"> Wholesale / roaming </v>
      </c>
      <c r="O105" t="str">
        <f t="shared" si="40"/>
        <v xml:space="preserve"> 20.0% </v>
      </c>
      <c r="P105" t="s">
        <v>372</v>
      </c>
      <c r="Q105" t="str">
        <f t="shared" si="41"/>
        <v xml:space="preserve"> Wholesale / roaming </v>
      </c>
      <c r="R105" t="str">
        <f t="shared" si="42"/>
        <v xml:space="preserve"> 25.0% </v>
      </c>
      <c r="S105" t="s">
        <v>253</v>
      </c>
      <c r="T105" t="str">
        <f t="shared" si="43"/>
        <v xml:space="preserve"> Wholesale / roaming </v>
      </c>
      <c r="U105" t="str">
        <f t="shared" si="44"/>
        <v xml:space="preserve"> 22.0% </v>
      </c>
      <c r="V105" t="s">
        <v>367</v>
      </c>
      <c r="W105" t="str">
        <f t="shared" si="45"/>
        <v xml:space="preserve"> Wholesale / roaming </v>
      </c>
      <c r="X105" t="str">
        <f t="shared" si="46"/>
        <v xml:space="preserve"> 35.0% </v>
      </c>
      <c r="Y105" t="s">
        <v>258</v>
      </c>
      <c r="Z105" t="str">
        <f t="shared" si="47"/>
        <v xml:space="preserve"> Wholesale / roaming </v>
      </c>
      <c r="AA105" t="str">
        <f t="shared" si="48"/>
        <v xml:space="preserve"> 20.0% </v>
      </c>
      <c r="AB105" t="s">
        <v>372</v>
      </c>
      <c r="AC105" t="str">
        <f t="shared" si="49"/>
        <v xml:space="preserve"> Wholesale / roaming </v>
      </c>
      <c r="AD105" t="str">
        <f t="shared" si="50"/>
        <v xml:space="preserve"> 25.0% </v>
      </c>
      <c r="AF105" t="s">
        <v>872</v>
      </c>
      <c r="AG105" t="str">
        <f t="shared" si="51"/>
        <v xml:space="preserve"> Wholesale / roaming </v>
      </c>
      <c r="AH105" t="str">
        <f t="shared" si="52"/>
        <v xml:space="preserve"> 18.0% </v>
      </c>
      <c r="AI105" t="s">
        <v>94</v>
      </c>
      <c r="AK105" t="str">
        <f t="shared" si="53"/>
        <v xml:space="preserve"> Wholesale / roaming </v>
      </c>
      <c r="AL105" t="str">
        <f t="shared" si="54"/>
        <v xml:space="preserve"> 15.0% </v>
      </c>
      <c r="AM105" t="s">
        <v>372</v>
      </c>
      <c r="AN105" t="s">
        <v>0</v>
      </c>
      <c r="AO105" t="str">
        <f t="shared" si="55"/>
        <v xml:space="preserve"> 25.0% </v>
      </c>
      <c r="AP105" t="s">
        <v>258</v>
      </c>
      <c r="AQ105" t="str">
        <f t="shared" si="56"/>
        <v xml:space="preserve"> Wholesale / roaming </v>
      </c>
      <c r="AR105" t="str">
        <f t="shared" si="57"/>
        <v xml:space="preserve"> 20.0% </v>
      </c>
      <c r="AS105" t="s">
        <v>258</v>
      </c>
      <c r="AT105" t="str">
        <f t="shared" si="58"/>
        <v xml:space="preserve"> Wholesale / roaming </v>
      </c>
      <c r="AU105" t="str">
        <f t="shared" si="59"/>
        <v xml:space="preserve"> 20.0% </v>
      </c>
      <c r="AV105" t="s">
        <v>1171</v>
      </c>
      <c r="AW105" t="str">
        <f t="shared" si="60"/>
        <v>Wholesale / roaming</v>
      </c>
      <c r="AX105" t="str">
        <f t="shared" si="61"/>
        <v xml:space="preserve"> 20.0% </v>
      </c>
    </row>
    <row r="106" spans="1:50" x14ac:dyDescent="0.45">
      <c r="A106" t="s">
        <v>95</v>
      </c>
      <c r="B106" t="str">
        <f t="shared" si="31"/>
        <v xml:space="preserve"> Customer impact analysis </v>
      </c>
      <c r="C106" t="str">
        <f t="shared" si="32"/>
        <v xml:space="preserve"> 50.0% </v>
      </c>
      <c r="D106" t="s">
        <v>259</v>
      </c>
      <c r="E106" t="str">
        <f t="shared" si="33"/>
        <v xml:space="preserve"> Customer impact analysis </v>
      </c>
      <c r="F106" t="str">
        <f t="shared" si="34"/>
        <v xml:space="preserve"> 36.0% </v>
      </c>
      <c r="G106" t="s">
        <v>83</v>
      </c>
      <c r="H106" t="str">
        <f t="shared" si="35"/>
        <v xml:space="preserve"> Customer impact analysis </v>
      </c>
      <c r="I106" t="str">
        <f t="shared" si="36"/>
        <v xml:space="preserve"> 25.0% </v>
      </c>
      <c r="J106" t="s">
        <v>377</v>
      </c>
      <c r="K106" t="str">
        <f t="shared" si="37"/>
        <v xml:space="preserve"> Customer impact analysis </v>
      </c>
      <c r="L106" t="str">
        <f t="shared" si="38"/>
        <v xml:space="preserve"> 40.0% </v>
      </c>
      <c r="M106" t="s">
        <v>471</v>
      </c>
      <c r="N106" t="str">
        <f t="shared" si="39"/>
        <v xml:space="preserve"> Customer impact analysis </v>
      </c>
      <c r="O106" t="str">
        <f t="shared" si="40"/>
        <v xml:space="preserve"> 31.0% </v>
      </c>
      <c r="P106" t="s">
        <v>628</v>
      </c>
      <c r="Q106" t="str">
        <f t="shared" si="41"/>
        <v xml:space="preserve"> Customer impact analysis </v>
      </c>
      <c r="R106" t="str">
        <f t="shared" si="42"/>
        <v xml:space="preserve"> 35.0% </v>
      </c>
      <c r="S106" t="s">
        <v>692</v>
      </c>
      <c r="T106" t="str">
        <f t="shared" si="43"/>
        <v xml:space="preserve"> Customer impact analysis </v>
      </c>
      <c r="U106" t="str">
        <f t="shared" si="44"/>
        <v xml:space="preserve"> 32.0% </v>
      </c>
      <c r="V106" t="s">
        <v>95</v>
      </c>
      <c r="W106" t="str">
        <f t="shared" si="45"/>
        <v xml:space="preserve"> Customer impact analysis </v>
      </c>
      <c r="X106" t="str">
        <f t="shared" si="46"/>
        <v xml:space="preserve"> 50.0% </v>
      </c>
      <c r="Y106" t="s">
        <v>788</v>
      </c>
      <c r="Z106" t="str">
        <f t="shared" si="47"/>
        <v xml:space="preserve"> Customer impact analysis </v>
      </c>
      <c r="AA106" t="str">
        <f t="shared" si="48"/>
        <v xml:space="preserve"> 30.0% </v>
      </c>
      <c r="AB106" t="s">
        <v>377</v>
      </c>
      <c r="AC106" t="str">
        <f t="shared" si="49"/>
        <v xml:space="preserve"> Customer impact analysis </v>
      </c>
      <c r="AD106" t="str">
        <f t="shared" si="50"/>
        <v xml:space="preserve"> 40.0% </v>
      </c>
      <c r="AF106" t="s">
        <v>873</v>
      </c>
      <c r="AG106" t="str">
        <f t="shared" si="51"/>
        <v xml:space="preserve"> Customer impact analysis </v>
      </c>
      <c r="AH106" t="str">
        <f t="shared" si="52"/>
        <v xml:space="preserve"> 38.0% </v>
      </c>
      <c r="AI106" t="s">
        <v>83</v>
      </c>
      <c r="AK106" t="str">
        <f t="shared" si="53"/>
        <v xml:space="preserve"> Customer impact analysis </v>
      </c>
      <c r="AL106" t="str">
        <f t="shared" si="54"/>
        <v xml:space="preserve"> 25.0% </v>
      </c>
      <c r="AM106" t="s">
        <v>95</v>
      </c>
      <c r="AN106" t="s">
        <v>0</v>
      </c>
      <c r="AO106" t="str">
        <f t="shared" si="55"/>
        <v xml:space="preserve"> 50.0% </v>
      </c>
      <c r="AP106" t="s">
        <v>1003</v>
      </c>
      <c r="AQ106" t="str">
        <f t="shared" si="56"/>
        <v xml:space="preserve"> Customer impact analysis </v>
      </c>
      <c r="AR106" t="str">
        <f t="shared" si="57"/>
        <v xml:space="preserve"> 33.0% </v>
      </c>
      <c r="AS106" t="s">
        <v>868</v>
      </c>
      <c r="AT106" t="str">
        <f t="shared" si="58"/>
        <v xml:space="preserve"> Customer impact analysis </v>
      </c>
      <c r="AU106" t="str">
        <f t="shared" si="59"/>
        <v xml:space="preserve"> 42.0% </v>
      </c>
      <c r="AV106" t="s">
        <v>1172</v>
      </c>
      <c r="AW106" t="str">
        <f t="shared" si="60"/>
        <v>Customer impact analysis</v>
      </c>
      <c r="AX106" t="str">
        <f t="shared" si="61"/>
        <v xml:space="preserve"> 30.0% </v>
      </c>
    </row>
    <row r="107" spans="1:50" x14ac:dyDescent="0.45">
      <c r="A107" t="s">
        <v>96</v>
      </c>
      <c r="B107" t="str">
        <f t="shared" si="31"/>
        <v xml:space="preserve"> Other </v>
      </c>
      <c r="C107" t="str">
        <f t="shared" si="32"/>
        <v xml:space="preserve"> 10.0% </v>
      </c>
      <c r="D107" t="s">
        <v>260</v>
      </c>
      <c r="E107" t="str">
        <f t="shared" si="33"/>
        <v xml:space="preserve"> Other </v>
      </c>
      <c r="F107" t="str">
        <f t="shared" si="34"/>
        <v xml:space="preserve"> 16.0% </v>
      </c>
      <c r="G107" t="s">
        <v>39</v>
      </c>
      <c r="H107" t="str">
        <f t="shared" si="35"/>
        <v xml:space="preserve"> Other </v>
      </c>
      <c r="I107" t="str">
        <f t="shared" si="36"/>
        <v xml:space="preserve"> 15.0% </v>
      </c>
      <c r="J107" t="s">
        <v>39</v>
      </c>
      <c r="K107" t="str">
        <f t="shared" si="37"/>
        <v xml:space="preserve"> Other </v>
      </c>
      <c r="L107" t="str">
        <f t="shared" si="38"/>
        <v xml:space="preserve"> 15.0% </v>
      </c>
      <c r="M107" t="s">
        <v>472</v>
      </c>
      <c r="N107" t="str">
        <f t="shared" si="39"/>
        <v xml:space="preserve"> Other </v>
      </c>
      <c r="O107" t="str">
        <f t="shared" si="40"/>
        <v xml:space="preserve"> 11.0% </v>
      </c>
      <c r="P107" t="s">
        <v>560</v>
      </c>
      <c r="Q107" t="str">
        <f t="shared" si="41"/>
        <v xml:space="preserve"> Other </v>
      </c>
      <c r="R107" t="str">
        <f t="shared" si="42"/>
        <v xml:space="preserve"> 12.0% </v>
      </c>
      <c r="S107" t="s">
        <v>617</v>
      </c>
      <c r="T107" t="str">
        <f t="shared" si="43"/>
        <v xml:space="preserve"> Other </v>
      </c>
      <c r="U107" t="str">
        <f t="shared" si="44"/>
        <v xml:space="preserve"> 18.0% </v>
      </c>
      <c r="V107" t="s">
        <v>739</v>
      </c>
      <c r="W107" t="str">
        <f t="shared" si="45"/>
        <v xml:space="preserve"> Other </v>
      </c>
      <c r="X107" t="str">
        <f t="shared" si="46"/>
        <v xml:space="preserve"> 30.0% </v>
      </c>
      <c r="Y107" t="s">
        <v>39</v>
      </c>
      <c r="Z107" t="str">
        <f t="shared" si="47"/>
        <v xml:space="preserve"> Other </v>
      </c>
      <c r="AA107" t="str">
        <f t="shared" si="48"/>
        <v xml:space="preserve"> 15.0% </v>
      </c>
      <c r="AB107" t="s">
        <v>352</v>
      </c>
      <c r="AC107" t="str">
        <f t="shared" si="49"/>
        <v xml:space="preserve"> Other </v>
      </c>
      <c r="AD107" t="str">
        <f t="shared" si="50"/>
        <v xml:space="preserve"> 20.0% </v>
      </c>
      <c r="AF107" t="s">
        <v>560</v>
      </c>
      <c r="AG107" t="str">
        <f t="shared" si="51"/>
        <v xml:space="preserve"> Other </v>
      </c>
      <c r="AH107" t="str">
        <f t="shared" si="52"/>
        <v xml:space="preserve"> 12.0% </v>
      </c>
      <c r="AI107" t="s">
        <v>560</v>
      </c>
      <c r="AK107" t="str">
        <f t="shared" si="53"/>
        <v xml:space="preserve"> Other </v>
      </c>
      <c r="AL107" t="str">
        <f t="shared" si="54"/>
        <v xml:space="preserve"> 12.0% </v>
      </c>
      <c r="AM107" t="s">
        <v>76</v>
      </c>
      <c r="AN107" t="s">
        <v>0</v>
      </c>
      <c r="AO107" t="str">
        <f t="shared" si="55"/>
        <v xml:space="preserve"> 5.0% </v>
      </c>
      <c r="AP107" t="s">
        <v>39</v>
      </c>
      <c r="AQ107" t="str">
        <f t="shared" si="56"/>
        <v xml:space="preserve"> Other </v>
      </c>
      <c r="AR107" t="str">
        <f t="shared" si="57"/>
        <v xml:space="preserve"> 15.0% </v>
      </c>
      <c r="AS107" t="s">
        <v>560</v>
      </c>
      <c r="AT107" t="str">
        <f t="shared" si="58"/>
        <v xml:space="preserve"> Other </v>
      </c>
      <c r="AU107" t="str">
        <f t="shared" si="59"/>
        <v xml:space="preserve"> 12.0% </v>
      </c>
      <c r="AV107" t="s">
        <v>1173</v>
      </c>
      <c r="AW107" t="str">
        <f t="shared" si="60"/>
        <v>Other</v>
      </c>
      <c r="AX107" t="str">
        <f t="shared" si="61"/>
        <v xml:space="preserve"> 25.0% </v>
      </c>
    </row>
    <row r="108" spans="1:50" x14ac:dyDescent="0.45">
      <c r="A108" t="s">
        <v>97</v>
      </c>
      <c r="B108" t="str">
        <f t="shared" si="31"/>
        <v/>
      </c>
      <c r="C108" t="str">
        <f t="shared" si="32"/>
        <v/>
      </c>
      <c r="D108" t="s">
        <v>261</v>
      </c>
      <c r="E108" t="str">
        <f t="shared" si="33"/>
        <v/>
      </c>
      <c r="F108" t="str">
        <f t="shared" si="34"/>
        <v/>
      </c>
      <c r="G108" t="s">
        <v>97</v>
      </c>
      <c r="H108" t="str">
        <f t="shared" si="35"/>
        <v/>
      </c>
      <c r="I108" t="str">
        <f t="shared" si="36"/>
        <v/>
      </c>
      <c r="J108" t="s">
        <v>97</v>
      </c>
      <c r="K108" t="str">
        <f t="shared" si="37"/>
        <v/>
      </c>
      <c r="L108" t="str">
        <f t="shared" si="38"/>
        <v/>
      </c>
      <c r="M108" t="s">
        <v>97</v>
      </c>
      <c r="N108" t="str">
        <f t="shared" si="39"/>
        <v/>
      </c>
      <c r="O108" t="str">
        <f t="shared" si="40"/>
        <v/>
      </c>
      <c r="P108" t="s">
        <v>629</v>
      </c>
      <c r="Q108" t="str">
        <f t="shared" si="41"/>
        <v/>
      </c>
      <c r="R108" t="str">
        <f t="shared" si="42"/>
        <v/>
      </c>
      <c r="S108" t="s">
        <v>693</v>
      </c>
      <c r="T108" t="str">
        <f t="shared" si="43"/>
        <v/>
      </c>
      <c r="U108" t="str">
        <f t="shared" si="44"/>
        <v/>
      </c>
      <c r="V108" t="s">
        <v>740</v>
      </c>
      <c r="W108" t="str">
        <f t="shared" si="45"/>
        <v/>
      </c>
      <c r="X108" t="str">
        <f t="shared" si="46"/>
        <v/>
      </c>
      <c r="Y108" t="s">
        <v>97</v>
      </c>
      <c r="Z108" t="str">
        <f t="shared" si="47"/>
        <v/>
      </c>
      <c r="AA108" t="str">
        <f t="shared" si="48"/>
        <v/>
      </c>
      <c r="AB108" t="s">
        <v>97</v>
      </c>
      <c r="AC108" t="str">
        <f t="shared" si="49"/>
        <v/>
      </c>
      <c r="AD108" t="str">
        <f t="shared" si="50"/>
        <v/>
      </c>
      <c r="AF108" t="s">
        <v>97</v>
      </c>
      <c r="AG108" t="str">
        <f t="shared" si="51"/>
        <v/>
      </c>
      <c r="AH108" t="str">
        <f t="shared" si="52"/>
        <v/>
      </c>
      <c r="AI108" t="s">
        <v>97</v>
      </c>
      <c r="AK108" t="str">
        <f t="shared" si="53"/>
        <v/>
      </c>
      <c r="AL108" t="str">
        <f t="shared" si="54"/>
        <v/>
      </c>
      <c r="AM108" t="s">
        <v>97</v>
      </c>
      <c r="AN108" t="s">
        <v>0</v>
      </c>
      <c r="AO108" t="str">
        <f t="shared" si="55"/>
        <v/>
      </c>
      <c r="AP108" t="s">
        <v>97</v>
      </c>
      <c r="AQ108" t="str">
        <f t="shared" si="56"/>
        <v/>
      </c>
      <c r="AR108" t="str">
        <f t="shared" si="57"/>
        <v/>
      </c>
      <c r="AS108" t="s">
        <v>97</v>
      </c>
      <c r="AT108" t="str">
        <f t="shared" si="58"/>
        <v/>
      </c>
      <c r="AU108" t="str">
        <f t="shared" si="59"/>
        <v/>
      </c>
      <c r="AV108" t="s">
        <v>1174</v>
      </c>
      <c r="AW108" t="str">
        <f t="shared" si="60"/>
        <v/>
      </c>
      <c r="AX108" t="str">
        <f t="shared" si="61"/>
        <v/>
      </c>
    </row>
    <row r="109" spans="1:50" x14ac:dyDescent="0.45">
      <c r="A109" t="s">
        <v>41</v>
      </c>
      <c r="B109" t="str">
        <f t="shared" si="31"/>
        <v/>
      </c>
      <c r="C109" t="str">
        <f t="shared" si="32"/>
        <v/>
      </c>
      <c r="D109" t="s">
        <v>212</v>
      </c>
      <c r="E109" t="str">
        <f t="shared" si="33"/>
        <v/>
      </c>
      <c r="F109" t="str">
        <f t="shared" si="34"/>
        <v/>
      </c>
      <c r="G109" t="s">
        <v>41</v>
      </c>
      <c r="H109" t="str">
        <f t="shared" si="35"/>
        <v/>
      </c>
      <c r="I109" t="str">
        <f t="shared" si="36"/>
        <v/>
      </c>
      <c r="J109" t="s">
        <v>41</v>
      </c>
      <c r="K109" t="str">
        <f t="shared" si="37"/>
        <v/>
      </c>
      <c r="L109" t="str">
        <f t="shared" si="38"/>
        <v/>
      </c>
      <c r="M109" t="s">
        <v>41</v>
      </c>
      <c r="N109" t="str">
        <f t="shared" si="39"/>
        <v/>
      </c>
      <c r="O109" t="str">
        <f t="shared" si="40"/>
        <v/>
      </c>
      <c r="P109" t="s">
        <v>41</v>
      </c>
      <c r="Q109" t="str">
        <f t="shared" si="41"/>
        <v/>
      </c>
      <c r="R109" t="str">
        <f t="shared" si="42"/>
        <v/>
      </c>
      <c r="S109" t="s">
        <v>41</v>
      </c>
      <c r="T109" t="str">
        <f t="shared" si="43"/>
        <v/>
      </c>
      <c r="U109" t="str">
        <f t="shared" si="44"/>
        <v/>
      </c>
      <c r="V109" t="s">
        <v>41</v>
      </c>
      <c r="W109" t="str">
        <f t="shared" si="45"/>
        <v/>
      </c>
      <c r="X109" t="str">
        <f t="shared" si="46"/>
        <v/>
      </c>
      <c r="Y109" t="s">
        <v>41</v>
      </c>
      <c r="Z109" t="str">
        <f t="shared" si="47"/>
        <v/>
      </c>
      <c r="AA109" t="str">
        <f t="shared" si="48"/>
        <v/>
      </c>
      <c r="AB109" t="s">
        <v>41</v>
      </c>
      <c r="AC109" t="str">
        <f t="shared" si="49"/>
        <v/>
      </c>
      <c r="AD109" t="str">
        <f t="shared" si="50"/>
        <v/>
      </c>
      <c r="AF109" t="s">
        <v>41</v>
      </c>
      <c r="AG109" t="str">
        <f t="shared" si="51"/>
        <v/>
      </c>
      <c r="AH109" t="str">
        <f t="shared" si="52"/>
        <v/>
      </c>
      <c r="AI109" t="s">
        <v>41</v>
      </c>
      <c r="AK109" t="str">
        <f t="shared" si="53"/>
        <v/>
      </c>
      <c r="AL109" t="str">
        <f t="shared" si="54"/>
        <v/>
      </c>
      <c r="AM109" t="s">
        <v>41</v>
      </c>
      <c r="AN109" t="s">
        <v>0</v>
      </c>
      <c r="AO109" t="str">
        <f t="shared" si="55"/>
        <v/>
      </c>
      <c r="AP109" t="s">
        <v>41</v>
      </c>
      <c r="AQ109" t="str">
        <f t="shared" si="56"/>
        <v/>
      </c>
      <c r="AR109" t="str">
        <f t="shared" si="57"/>
        <v/>
      </c>
      <c r="AS109" t="s">
        <v>41</v>
      </c>
      <c r="AT109" t="str">
        <f t="shared" si="58"/>
        <v/>
      </c>
      <c r="AU109" t="str">
        <f t="shared" si="59"/>
        <v/>
      </c>
      <c r="AV109" t="s">
        <v>1118</v>
      </c>
      <c r="AW109" t="str">
        <f t="shared" si="60"/>
        <v/>
      </c>
      <c r="AX109" t="str">
        <f t="shared" si="61"/>
        <v/>
      </c>
    </row>
    <row r="110" spans="1:50" x14ac:dyDescent="0.45">
      <c r="A110" t="s">
        <v>98</v>
      </c>
      <c r="B110" t="str">
        <f t="shared" si="31"/>
        <v xml:space="preserve"> Detecting fraud by third parties </v>
      </c>
      <c r="C110" t="str">
        <f t="shared" si="32"/>
        <v xml:space="preserve"> 25.0% </v>
      </c>
      <c r="D110" t="s">
        <v>262</v>
      </c>
      <c r="E110" t="str">
        <f t="shared" si="33"/>
        <v xml:space="preserve"> Detecting fraud by third parties </v>
      </c>
      <c r="F110" t="str">
        <f t="shared" si="34"/>
        <v xml:space="preserve"> 28.0% </v>
      </c>
      <c r="G110" t="s">
        <v>473</v>
      </c>
      <c r="H110" t="str">
        <f t="shared" si="35"/>
        <v xml:space="preserve"> Detecting fraud by third parties </v>
      </c>
      <c r="I110" t="str">
        <f t="shared" si="36"/>
        <v xml:space="preserve"> 18.0% </v>
      </c>
      <c r="J110" t="s">
        <v>108</v>
      </c>
      <c r="K110" t="str">
        <f t="shared" si="37"/>
        <v xml:space="preserve"> Detecting fraud by third parties </v>
      </c>
      <c r="L110" t="str">
        <f t="shared" si="38"/>
        <v xml:space="preserve"> 30.0% </v>
      </c>
      <c r="M110" t="s">
        <v>473</v>
      </c>
      <c r="N110" t="str">
        <f t="shared" si="39"/>
        <v xml:space="preserve"> Detecting fraud by third parties </v>
      </c>
      <c r="O110" t="str">
        <f t="shared" si="40"/>
        <v xml:space="preserve"> 18.0% </v>
      </c>
      <c r="P110" t="s">
        <v>630</v>
      </c>
      <c r="Q110" t="str">
        <f t="shared" si="41"/>
        <v xml:space="preserve"> Detecting fraud by third parties </v>
      </c>
      <c r="R110" t="str">
        <f t="shared" si="42"/>
        <v xml:space="preserve"> 35.0% </v>
      </c>
      <c r="S110" t="s">
        <v>262</v>
      </c>
      <c r="T110" t="str">
        <f t="shared" si="43"/>
        <v xml:space="preserve"> Detecting fraud by third parties </v>
      </c>
      <c r="U110" t="str">
        <f t="shared" si="44"/>
        <v xml:space="preserve"> 28.0% </v>
      </c>
      <c r="V110" t="s">
        <v>741</v>
      </c>
      <c r="W110" t="str">
        <f t="shared" si="45"/>
        <v xml:space="preserve"> Detecting fraud by third parties </v>
      </c>
      <c r="X110" t="str">
        <f t="shared" si="46"/>
        <v xml:space="preserve"> 40.0% </v>
      </c>
      <c r="Y110" t="s">
        <v>98</v>
      </c>
      <c r="Z110" t="str">
        <f t="shared" si="47"/>
        <v xml:space="preserve"> Detecting fraud by third parties </v>
      </c>
      <c r="AA110" t="str">
        <f t="shared" si="48"/>
        <v xml:space="preserve"> 25.0% </v>
      </c>
      <c r="AB110" t="s">
        <v>108</v>
      </c>
      <c r="AC110" t="str">
        <f t="shared" si="49"/>
        <v xml:space="preserve"> Detecting fraud by third parties </v>
      </c>
      <c r="AD110" t="str">
        <f t="shared" si="50"/>
        <v xml:space="preserve"> 30.0% </v>
      </c>
      <c r="AF110" t="s">
        <v>874</v>
      </c>
      <c r="AG110" t="str">
        <f t="shared" si="51"/>
        <v xml:space="preserve"> Detecting fraud by third parties </v>
      </c>
      <c r="AH110" t="str">
        <f t="shared" si="52"/>
        <v xml:space="preserve"> 48.0% </v>
      </c>
      <c r="AI110" t="s">
        <v>484</v>
      </c>
      <c r="AK110" t="str">
        <f t="shared" si="53"/>
        <v xml:space="preserve"> Detecting fraud by third parties </v>
      </c>
      <c r="AL110" t="str">
        <f t="shared" si="54"/>
        <v xml:space="preserve"> 15.0% </v>
      </c>
      <c r="AM110" t="s">
        <v>484</v>
      </c>
      <c r="AN110" t="s">
        <v>0</v>
      </c>
      <c r="AO110" t="str">
        <f t="shared" si="55"/>
        <v xml:space="preserve"> 15.0% </v>
      </c>
      <c r="AP110" t="s">
        <v>1004</v>
      </c>
      <c r="AQ110" t="str">
        <f t="shared" si="56"/>
        <v xml:space="preserve"> Detecting fraud by third parties </v>
      </c>
      <c r="AR110" t="str">
        <f t="shared" si="57"/>
        <v xml:space="preserve"> 23.0% </v>
      </c>
      <c r="AS110" t="s">
        <v>262</v>
      </c>
      <c r="AT110" t="str">
        <f t="shared" si="58"/>
        <v xml:space="preserve"> Detecting fraud by third parties </v>
      </c>
      <c r="AU110" t="str">
        <f t="shared" si="59"/>
        <v xml:space="preserve"> 28.0% </v>
      </c>
      <c r="AV110" t="s">
        <v>1175</v>
      </c>
      <c r="AW110" t="str">
        <f t="shared" si="60"/>
        <v>Detecting fraud by third parties</v>
      </c>
      <c r="AX110" t="str">
        <f t="shared" si="61"/>
        <v xml:space="preserve"> 25.0% </v>
      </c>
    </row>
    <row r="111" spans="1:50" x14ac:dyDescent="0.45">
      <c r="A111" t="s">
        <v>99</v>
      </c>
      <c r="B111" t="str">
        <f t="shared" si="31"/>
        <v xml:space="preserve"> Detecting fraud against third parties </v>
      </c>
      <c r="C111" t="str">
        <f t="shared" si="32"/>
        <v xml:space="preserve"> 20.0% </v>
      </c>
      <c r="D111" t="s">
        <v>263</v>
      </c>
      <c r="E111" t="str">
        <f t="shared" si="33"/>
        <v xml:space="preserve"> Detecting fraud against third parties </v>
      </c>
      <c r="F111" t="str">
        <f t="shared" si="34"/>
        <v xml:space="preserve"> 22.0% </v>
      </c>
      <c r="G111" t="s">
        <v>569</v>
      </c>
      <c r="H111" t="str">
        <f t="shared" si="35"/>
        <v xml:space="preserve"> Detecting fraud against third parties </v>
      </c>
      <c r="I111" t="str">
        <f t="shared" si="36"/>
        <v xml:space="preserve"> 12.0% </v>
      </c>
      <c r="J111" t="s">
        <v>378</v>
      </c>
      <c r="K111" t="str">
        <f t="shared" si="37"/>
        <v xml:space="preserve"> Detecting fraud against third parties </v>
      </c>
      <c r="L111" t="str">
        <f t="shared" si="38"/>
        <v xml:space="preserve"> 25.0% </v>
      </c>
      <c r="M111" t="s">
        <v>474</v>
      </c>
      <c r="N111" t="str">
        <f t="shared" si="39"/>
        <v xml:space="preserve"> Detecting fraud against third parties </v>
      </c>
      <c r="O111" t="str">
        <f t="shared" si="40"/>
        <v xml:space="preserve"> 21.0% </v>
      </c>
      <c r="P111" t="s">
        <v>378</v>
      </c>
      <c r="Q111" t="str">
        <f t="shared" si="41"/>
        <v xml:space="preserve"> Detecting fraud against third parties </v>
      </c>
      <c r="R111" t="str">
        <f t="shared" si="42"/>
        <v xml:space="preserve"> 25.0% </v>
      </c>
      <c r="S111" t="s">
        <v>263</v>
      </c>
      <c r="T111" t="str">
        <f t="shared" si="43"/>
        <v xml:space="preserve"> Detecting fraud against third parties </v>
      </c>
      <c r="U111" t="str">
        <f t="shared" si="44"/>
        <v xml:space="preserve"> 22.0% </v>
      </c>
      <c r="V111" t="s">
        <v>742</v>
      </c>
      <c r="W111" t="str">
        <f t="shared" si="45"/>
        <v xml:space="preserve"> Detecting fraud against third parties </v>
      </c>
      <c r="X111" t="str">
        <f t="shared" si="46"/>
        <v xml:space="preserve"> 35.0% </v>
      </c>
      <c r="Y111" t="s">
        <v>99</v>
      </c>
      <c r="Z111" t="str">
        <f t="shared" si="47"/>
        <v xml:space="preserve"> Detecting fraud against third parties </v>
      </c>
      <c r="AA111" t="str">
        <f t="shared" si="48"/>
        <v xml:space="preserve"> 20.0% </v>
      </c>
      <c r="AB111" t="s">
        <v>378</v>
      </c>
      <c r="AC111" t="str">
        <f t="shared" si="49"/>
        <v xml:space="preserve"> Detecting fraud against third parties </v>
      </c>
      <c r="AD111" t="str">
        <f t="shared" si="50"/>
        <v xml:space="preserve"> 25.0% </v>
      </c>
      <c r="AF111" t="s">
        <v>875</v>
      </c>
      <c r="AG111" t="str">
        <f t="shared" si="51"/>
        <v xml:space="preserve"> Detecting fraud against third parties </v>
      </c>
      <c r="AH111" t="str">
        <f t="shared" si="52"/>
        <v xml:space="preserve"> 42.0% </v>
      </c>
      <c r="AI111" t="s">
        <v>929</v>
      </c>
      <c r="AK111" t="str">
        <f t="shared" si="53"/>
        <v xml:space="preserve"> Detecting fraud against third parties </v>
      </c>
      <c r="AL111" t="str">
        <f t="shared" si="54"/>
        <v xml:space="preserve"> 10.0% </v>
      </c>
      <c r="AM111" t="s">
        <v>929</v>
      </c>
      <c r="AN111" t="s">
        <v>0</v>
      </c>
      <c r="AO111" t="str">
        <f t="shared" si="55"/>
        <v xml:space="preserve"> 10.0% </v>
      </c>
      <c r="AP111" t="s">
        <v>271</v>
      </c>
      <c r="AQ111" t="str">
        <f t="shared" si="56"/>
        <v xml:space="preserve"> Detecting fraud against third parties </v>
      </c>
      <c r="AR111" t="str">
        <f t="shared" si="57"/>
        <v xml:space="preserve"> 26.0% </v>
      </c>
      <c r="AS111" t="s">
        <v>263</v>
      </c>
      <c r="AT111" t="str">
        <f t="shared" si="58"/>
        <v xml:space="preserve"> Detecting fraud against third parties </v>
      </c>
      <c r="AU111" t="str">
        <f t="shared" si="59"/>
        <v xml:space="preserve"> 22.0% </v>
      </c>
      <c r="AV111" t="s">
        <v>1176</v>
      </c>
      <c r="AW111" t="str">
        <f t="shared" si="60"/>
        <v>Detecting fraud against third parties</v>
      </c>
      <c r="AX111" t="str">
        <f t="shared" si="61"/>
        <v xml:space="preserve"> 40.0% </v>
      </c>
    </row>
    <row r="112" spans="1:50" x14ac:dyDescent="0.45">
      <c r="A112" t="s">
        <v>100</v>
      </c>
      <c r="B112" t="str">
        <f t="shared" si="31"/>
        <v xml:space="preserve"> Monitoring partner behaviour / anomalies </v>
      </c>
      <c r="C112" t="str">
        <f t="shared" si="32"/>
        <v xml:space="preserve"> 65.0% </v>
      </c>
      <c r="D112" t="s">
        <v>264</v>
      </c>
      <c r="E112" t="str">
        <f t="shared" si="33"/>
        <v xml:space="preserve"> Monitoring partner behaviour / anomalies </v>
      </c>
      <c r="F112" t="str">
        <f t="shared" si="34"/>
        <v xml:space="preserve"> 48.0% </v>
      </c>
      <c r="G112" t="s">
        <v>381</v>
      </c>
      <c r="H112" t="str">
        <f t="shared" si="35"/>
        <v xml:space="preserve"> Monitoring partner behaviour / anomalies </v>
      </c>
      <c r="I112" t="str">
        <f t="shared" si="36"/>
        <v xml:space="preserve"> 40.0% </v>
      </c>
      <c r="J112" t="s">
        <v>109</v>
      </c>
      <c r="K112" t="str">
        <f t="shared" si="37"/>
        <v xml:space="preserve"> Monitoring partner behaviour / anomalies </v>
      </c>
      <c r="L112" t="str">
        <f t="shared" si="38"/>
        <v xml:space="preserve"> 50.0% </v>
      </c>
      <c r="M112" t="s">
        <v>475</v>
      </c>
      <c r="N112" t="str">
        <f t="shared" si="39"/>
        <v xml:space="preserve"> Monitoring partner behaviour / anomalies </v>
      </c>
      <c r="O112" t="str">
        <f t="shared" si="40"/>
        <v xml:space="preserve"> 39.0% </v>
      </c>
      <c r="P112" t="s">
        <v>631</v>
      </c>
      <c r="Q112" t="str">
        <f t="shared" si="41"/>
        <v xml:space="preserve"> Monitoring partner behaviour / anomalies </v>
      </c>
      <c r="R112" t="str">
        <f t="shared" si="42"/>
        <v xml:space="preserve"> 55.0% </v>
      </c>
      <c r="S112" t="s">
        <v>264</v>
      </c>
      <c r="T112" t="str">
        <f t="shared" si="43"/>
        <v xml:space="preserve"> Monitoring partner behaviour / anomalies </v>
      </c>
      <c r="U112" t="str">
        <f t="shared" si="44"/>
        <v xml:space="preserve"> 48.0% </v>
      </c>
      <c r="V112" t="s">
        <v>743</v>
      </c>
      <c r="W112" t="str">
        <f t="shared" si="45"/>
        <v xml:space="preserve"> Monitoring partner behaviour / anomalies </v>
      </c>
      <c r="X112" t="str">
        <f t="shared" si="46"/>
        <v xml:space="preserve"> 70.0% </v>
      </c>
      <c r="Y112" t="s">
        <v>789</v>
      </c>
      <c r="Z112" t="str">
        <f t="shared" si="47"/>
        <v xml:space="preserve"> Monitoring partner behaviour / anomalies </v>
      </c>
      <c r="AA112" t="str">
        <f t="shared" si="48"/>
        <v xml:space="preserve"> 45.0% </v>
      </c>
      <c r="AB112" t="s">
        <v>789</v>
      </c>
      <c r="AC112" t="str">
        <f t="shared" si="49"/>
        <v xml:space="preserve"> Monitoring partner behaviour / anomalies </v>
      </c>
      <c r="AD112" t="str">
        <f t="shared" si="50"/>
        <v xml:space="preserve"> 45.0% </v>
      </c>
      <c r="AF112" t="s">
        <v>876</v>
      </c>
      <c r="AG112" t="str">
        <f t="shared" si="51"/>
        <v xml:space="preserve"> Monitoring partner behaviour / anomalies </v>
      </c>
      <c r="AH112" t="str">
        <f t="shared" si="52"/>
        <v xml:space="preserve"> 62.0% </v>
      </c>
      <c r="AI112" t="s">
        <v>789</v>
      </c>
      <c r="AK112" t="str">
        <f t="shared" si="53"/>
        <v xml:space="preserve"> Monitoring partner behaviour / anomalies </v>
      </c>
      <c r="AL112" t="str">
        <f t="shared" si="54"/>
        <v xml:space="preserve"> 45.0% </v>
      </c>
      <c r="AM112" t="s">
        <v>100</v>
      </c>
      <c r="AN112" t="s">
        <v>0</v>
      </c>
      <c r="AO112" t="str">
        <f t="shared" si="55"/>
        <v xml:space="preserve"> 65.0% </v>
      </c>
      <c r="AP112" t="s">
        <v>1005</v>
      </c>
      <c r="AQ112" t="str">
        <f t="shared" si="56"/>
        <v xml:space="preserve"> Monitoring partner behaviour / anomalies </v>
      </c>
      <c r="AR112" t="str">
        <f t="shared" si="57"/>
        <v xml:space="preserve"> 41.0% </v>
      </c>
      <c r="AS112" t="s">
        <v>105</v>
      </c>
      <c r="AT112" t="str">
        <f t="shared" si="58"/>
        <v xml:space="preserve"> Monitoring partner behaviour / anomalies </v>
      </c>
      <c r="AU112" t="str">
        <f t="shared" si="59"/>
        <v xml:space="preserve"> 60.0% </v>
      </c>
      <c r="AV112" t="s">
        <v>1177</v>
      </c>
      <c r="AW112" t="str">
        <f t="shared" si="60"/>
        <v>Monitoring partner behaviour / anomalies</v>
      </c>
      <c r="AX112" t="str">
        <f t="shared" si="61"/>
        <v xml:space="preserve"> 30.0% </v>
      </c>
    </row>
    <row r="113" spans="1:50" x14ac:dyDescent="0.45">
      <c r="A113" t="s">
        <v>101</v>
      </c>
      <c r="B113" t="str">
        <f t="shared" si="31"/>
        <v xml:space="preserve"> Dispute prevention &amp; resolution </v>
      </c>
      <c r="C113" t="str">
        <f t="shared" si="32"/>
        <v xml:space="preserve"> 55.0% </v>
      </c>
      <c r="D113" t="s">
        <v>110</v>
      </c>
      <c r="E113" t="str">
        <f t="shared" si="33"/>
        <v xml:space="preserve"> Dispute prevention &amp; resolution </v>
      </c>
      <c r="F113" t="str">
        <f t="shared" si="34"/>
        <v xml:space="preserve"> 40.0% </v>
      </c>
      <c r="G113" t="s">
        <v>273</v>
      </c>
      <c r="H113" t="str">
        <f t="shared" si="35"/>
        <v xml:space="preserve"> Dispute prevention &amp; resolution </v>
      </c>
      <c r="I113" t="str">
        <f t="shared" si="36"/>
        <v xml:space="preserve"> 30.0% </v>
      </c>
      <c r="J113" t="s">
        <v>110</v>
      </c>
      <c r="K113" t="str">
        <f t="shared" si="37"/>
        <v xml:space="preserve"> Dispute prevention &amp; resolution </v>
      </c>
      <c r="L113" t="str">
        <f t="shared" si="38"/>
        <v xml:space="preserve"> 40.0% </v>
      </c>
      <c r="M113" t="s">
        <v>476</v>
      </c>
      <c r="N113" t="str">
        <f t="shared" si="39"/>
        <v xml:space="preserve"> Dispute prevention &amp; resolution </v>
      </c>
      <c r="O113" t="str">
        <f t="shared" si="40"/>
        <v xml:space="preserve"> 24.0% </v>
      </c>
      <c r="P113" t="s">
        <v>632</v>
      </c>
      <c r="Q113" t="str">
        <f t="shared" si="41"/>
        <v xml:space="preserve"> Dispute prevention &amp; resolution </v>
      </c>
      <c r="R113" t="str">
        <f t="shared" si="42"/>
        <v xml:space="preserve"> 45.0% </v>
      </c>
      <c r="S113" t="s">
        <v>694</v>
      </c>
      <c r="T113" t="str">
        <f t="shared" si="43"/>
        <v xml:space="preserve"> Dispute prevention &amp; resolution </v>
      </c>
      <c r="U113" t="str">
        <f t="shared" si="44"/>
        <v xml:space="preserve"> 42.0% </v>
      </c>
      <c r="V113" t="s">
        <v>101</v>
      </c>
      <c r="W113" t="str">
        <f t="shared" si="45"/>
        <v xml:space="preserve"> Dispute prevention &amp; resolution </v>
      </c>
      <c r="X113" t="str">
        <f t="shared" si="46"/>
        <v xml:space="preserve"> 55.0% </v>
      </c>
      <c r="Y113" t="s">
        <v>273</v>
      </c>
      <c r="Z113" t="str">
        <f t="shared" si="47"/>
        <v xml:space="preserve"> Dispute prevention &amp; resolution </v>
      </c>
      <c r="AA113" t="str">
        <f t="shared" si="48"/>
        <v xml:space="preserve"> 30.0% </v>
      </c>
      <c r="AB113" t="s">
        <v>829</v>
      </c>
      <c r="AC113" t="str">
        <f t="shared" si="49"/>
        <v xml:space="preserve"> Dispute prevention &amp; resolution </v>
      </c>
      <c r="AD113" t="str">
        <f t="shared" si="50"/>
        <v xml:space="preserve"> 35.0% </v>
      </c>
      <c r="AF113" t="s">
        <v>877</v>
      </c>
      <c r="AG113" t="str">
        <f t="shared" si="51"/>
        <v xml:space="preserve"> Dispute prevention &amp; resolution </v>
      </c>
      <c r="AH113" t="str">
        <f t="shared" si="52"/>
        <v xml:space="preserve"> 44.0% </v>
      </c>
      <c r="AI113" t="s">
        <v>829</v>
      </c>
      <c r="AK113" t="str">
        <f t="shared" si="53"/>
        <v xml:space="preserve"> Dispute prevention &amp; resolution </v>
      </c>
      <c r="AL113" t="str">
        <f t="shared" si="54"/>
        <v xml:space="preserve"> 35.0% </v>
      </c>
      <c r="AM113" t="s">
        <v>746</v>
      </c>
      <c r="AN113" t="s">
        <v>0</v>
      </c>
      <c r="AO113" t="str">
        <f t="shared" si="55"/>
        <v xml:space="preserve"> 60.0% </v>
      </c>
      <c r="AP113" t="s">
        <v>1006</v>
      </c>
      <c r="AQ113" t="str">
        <f t="shared" si="56"/>
        <v xml:space="preserve"> Dispute prevention &amp; resolution </v>
      </c>
      <c r="AR113" t="str">
        <f t="shared" si="57"/>
        <v xml:space="preserve"> 33.0% </v>
      </c>
      <c r="AS113" t="s">
        <v>101</v>
      </c>
      <c r="AT113" t="str">
        <f t="shared" si="58"/>
        <v xml:space="preserve"> Dispute prevention &amp; resolution </v>
      </c>
      <c r="AU113" t="str">
        <f t="shared" si="59"/>
        <v xml:space="preserve"> 55.0% </v>
      </c>
      <c r="AV113" t="s">
        <v>1178</v>
      </c>
      <c r="AW113" t="str">
        <f t="shared" si="60"/>
        <v>Dispute prevention &amp; resolution</v>
      </c>
      <c r="AX113" t="str">
        <f t="shared" si="61"/>
        <v xml:space="preserve"> 20.0% </v>
      </c>
    </row>
    <row r="114" spans="1:50" x14ac:dyDescent="0.45">
      <c r="A114" t="s">
        <v>102</v>
      </c>
      <c r="B114" t="str">
        <f t="shared" si="31"/>
        <v xml:space="preserve"> Not used for third-party interactions </v>
      </c>
      <c r="C114" t="str">
        <f t="shared" si="32"/>
        <v xml:space="preserve"> 15.0% </v>
      </c>
      <c r="D114" t="s">
        <v>265</v>
      </c>
      <c r="E114" t="str">
        <f t="shared" si="33"/>
        <v xml:space="preserve"> Not used for third-party interactions </v>
      </c>
      <c r="F114" t="str">
        <f t="shared" si="34"/>
        <v xml:space="preserve"> 18.0% </v>
      </c>
      <c r="G114" t="s">
        <v>570</v>
      </c>
      <c r="H114" t="str">
        <f t="shared" si="35"/>
        <v xml:space="preserve"> Not used for third-party interactions </v>
      </c>
      <c r="I114" t="str">
        <f t="shared" si="36"/>
        <v xml:space="preserve"> 35.0% </v>
      </c>
      <c r="J114" t="s">
        <v>102</v>
      </c>
      <c r="K114" t="str">
        <f t="shared" si="37"/>
        <v xml:space="preserve"> Not used for third-party interactions </v>
      </c>
      <c r="L114" t="str">
        <f t="shared" si="38"/>
        <v xml:space="preserve"> 15.0% </v>
      </c>
      <c r="M114" t="s">
        <v>477</v>
      </c>
      <c r="N114" t="str">
        <f t="shared" si="39"/>
        <v xml:space="preserve"> Not used for third-party interactions </v>
      </c>
      <c r="O114" t="str">
        <f t="shared" si="40"/>
        <v xml:space="preserve"> 34.0% </v>
      </c>
      <c r="P114" t="s">
        <v>633</v>
      </c>
      <c r="Q114" t="str">
        <f t="shared" si="41"/>
        <v xml:space="preserve"> Not used for third-party interactions </v>
      </c>
      <c r="R114" t="str">
        <f t="shared" si="42"/>
        <v xml:space="preserve"> 20.0% </v>
      </c>
      <c r="S114" t="s">
        <v>695</v>
      </c>
      <c r="T114" t="str">
        <f t="shared" si="43"/>
        <v xml:space="preserve"> Not used for third-party interactions </v>
      </c>
      <c r="U114" t="str">
        <f t="shared" si="44"/>
        <v xml:space="preserve"> 30.0% </v>
      </c>
      <c r="V114" t="s">
        <v>111</v>
      </c>
      <c r="W114" t="str">
        <f t="shared" si="45"/>
        <v xml:space="preserve"> Not used for third-party interactions </v>
      </c>
      <c r="X114" t="str">
        <f t="shared" si="46"/>
        <v xml:space="preserve"> 25.0% </v>
      </c>
      <c r="Y114" t="s">
        <v>575</v>
      </c>
      <c r="Z114" t="str">
        <f t="shared" si="47"/>
        <v xml:space="preserve"> Not used for third-party interactions </v>
      </c>
      <c r="AA114" t="str">
        <f t="shared" si="48"/>
        <v xml:space="preserve"> 40.0% </v>
      </c>
      <c r="AB114" t="s">
        <v>111</v>
      </c>
      <c r="AC114" t="str">
        <f t="shared" si="49"/>
        <v xml:space="preserve"> Not used for third-party interactions </v>
      </c>
      <c r="AD114" t="str">
        <f t="shared" si="50"/>
        <v xml:space="preserve"> 25.0% </v>
      </c>
      <c r="AF114" t="s">
        <v>265</v>
      </c>
      <c r="AG114" t="str">
        <f t="shared" si="51"/>
        <v xml:space="preserve"> Not used for third-party interactions </v>
      </c>
      <c r="AH114" t="str">
        <f t="shared" si="52"/>
        <v xml:space="preserve"> 18.0% </v>
      </c>
      <c r="AI114" t="s">
        <v>695</v>
      </c>
      <c r="AK114" t="str">
        <f t="shared" si="53"/>
        <v xml:space="preserve"> Not used for third-party interactions </v>
      </c>
      <c r="AL114" t="str">
        <f t="shared" si="54"/>
        <v xml:space="preserve"> 30.0% </v>
      </c>
      <c r="AM114" t="s">
        <v>633</v>
      </c>
      <c r="AN114" t="s">
        <v>0</v>
      </c>
      <c r="AO114" t="str">
        <f t="shared" si="55"/>
        <v xml:space="preserve"> 20.0% </v>
      </c>
      <c r="AP114" t="s">
        <v>1007</v>
      </c>
      <c r="AQ114" t="str">
        <f t="shared" si="56"/>
        <v xml:space="preserve"> Not used for third-party interactions </v>
      </c>
      <c r="AR114" t="str">
        <f t="shared" si="57"/>
        <v xml:space="preserve"> 36.0% </v>
      </c>
      <c r="AS114" t="s">
        <v>1059</v>
      </c>
      <c r="AT114" t="str">
        <f t="shared" si="58"/>
        <v xml:space="preserve"> Not used for third-party interactions </v>
      </c>
      <c r="AU114" t="str">
        <f t="shared" si="59"/>
        <v xml:space="preserve"> 8.0% </v>
      </c>
      <c r="AV114" t="s">
        <v>1179</v>
      </c>
      <c r="AW114" t="str">
        <f t="shared" si="60"/>
        <v>Not used for third-party interactions</v>
      </c>
      <c r="AX114" t="str">
        <f t="shared" si="61"/>
        <v xml:space="preserve"> 15.0% </v>
      </c>
    </row>
    <row r="115" spans="1:50" x14ac:dyDescent="0.45">
      <c r="A115" t="s">
        <v>65</v>
      </c>
      <c r="B115" t="str">
        <f t="shared" si="31"/>
        <v xml:space="preserve"> Other </v>
      </c>
      <c r="C115" t="str">
        <f t="shared" si="32"/>
        <v xml:space="preserve"> 2.0% </v>
      </c>
      <c r="D115" t="s">
        <v>76</v>
      </c>
      <c r="E115" t="str">
        <f t="shared" si="33"/>
        <v xml:space="preserve"> Other </v>
      </c>
      <c r="F115" t="str">
        <f t="shared" si="34"/>
        <v xml:space="preserve"> 5.0% </v>
      </c>
      <c r="G115" t="s">
        <v>76</v>
      </c>
      <c r="H115" t="str">
        <f t="shared" si="35"/>
        <v xml:space="preserve"> Other </v>
      </c>
      <c r="I115" t="str">
        <f t="shared" si="36"/>
        <v xml:space="preserve"> 5.0% </v>
      </c>
      <c r="J115" t="s">
        <v>76</v>
      </c>
      <c r="K115" t="str">
        <f t="shared" si="37"/>
        <v xml:space="preserve"> Other </v>
      </c>
      <c r="L115" t="str">
        <f t="shared" si="38"/>
        <v xml:space="preserve"> 5.0% </v>
      </c>
      <c r="M115" t="s">
        <v>297</v>
      </c>
      <c r="N115" t="str">
        <f t="shared" si="39"/>
        <v xml:space="preserve"> Other </v>
      </c>
      <c r="O115" t="str">
        <f t="shared" si="40"/>
        <v xml:space="preserve"> 4.0% </v>
      </c>
      <c r="P115" t="s">
        <v>76</v>
      </c>
      <c r="Q115" t="str">
        <f t="shared" si="41"/>
        <v xml:space="preserve"> Other </v>
      </c>
      <c r="R115" t="str">
        <f t="shared" si="42"/>
        <v xml:space="preserve"> 5.0% </v>
      </c>
      <c r="S115" t="s">
        <v>275</v>
      </c>
      <c r="T115" t="str">
        <f t="shared" si="43"/>
        <v xml:space="preserve"> Other </v>
      </c>
      <c r="U115" t="str">
        <f t="shared" si="44"/>
        <v xml:space="preserve"> 8.0% </v>
      </c>
      <c r="V115" t="s">
        <v>96</v>
      </c>
      <c r="W115" t="str">
        <f t="shared" si="45"/>
        <v xml:space="preserve"> Other </v>
      </c>
      <c r="X115" t="str">
        <f t="shared" si="46"/>
        <v xml:space="preserve"> 10.0% </v>
      </c>
      <c r="Y115" t="s">
        <v>76</v>
      </c>
      <c r="Z115" t="str">
        <f t="shared" si="47"/>
        <v xml:space="preserve"> Other </v>
      </c>
      <c r="AA115" t="str">
        <f t="shared" si="48"/>
        <v xml:space="preserve"> 5.0% </v>
      </c>
      <c r="AB115" t="s">
        <v>96</v>
      </c>
      <c r="AC115" t="str">
        <f t="shared" si="49"/>
        <v xml:space="preserve"> Other </v>
      </c>
      <c r="AD115" t="str">
        <f t="shared" si="50"/>
        <v xml:space="preserve"> 10.0% </v>
      </c>
      <c r="AF115" t="s">
        <v>297</v>
      </c>
      <c r="AG115" t="str">
        <f t="shared" si="51"/>
        <v xml:space="preserve"> Other </v>
      </c>
      <c r="AH115" t="str">
        <f t="shared" si="52"/>
        <v xml:space="preserve"> 4.0% </v>
      </c>
      <c r="AI115" t="s">
        <v>483</v>
      </c>
      <c r="AK115" t="str">
        <f t="shared" si="53"/>
        <v xml:space="preserve"> Other </v>
      </c>
      <c r="AL115" t="str">
        <f t="shared" si="54"/>
        <v xml:space="preserve"> 3.0% </v>
      </c>
      <c r="AM115" t="s">
        <v>65</v>
      </c>
      <c r="AN115" t="s">
        <v>0</v>
      </c>
      <c r="AO115" t="str">
        <f t="shared" si="55"/>
        <v xml:space="preserve"> 2.0% </v>
      </c>
      <c r="AP115" t="s">
        <v>255</v>
      </c>
      <c r="AQ115" t="str">
        <f t="shared" si="56"/>
        <v xml:space="preserve"> Other </v>
      </c>
      <c r="AR115" t="str">
        <f t="shared" si="57"/>
        <v xml:space="preserve"> 7.0% </v>
      </c>
      <c r="AS115" t="s">
        <v>76</v>
      </c>
      <c r="AT115" t="str">
        <f t="shared" si="58"/>
        <v xml:space="preserve"> Other </v>
      </c>
      <c r="AU115" t="str">
        <f t="shared" si="59"/>
        <v xml:space="preserve"> 5.0% </v>
      </c>
      <c r="AV115" t="s">
        <v>1180</v>
      </c>
      <c r="AW115" t="str">
        <f t="shared" si="60"/>
        <v>Other</v>
      </c>
      <c r="AX115" t="str">
        <f t="shared" si="61"/>
        <v xml:space="preserve"> 5.0% </v>
      </c>
    </row>
    <row r="116" spans="1:50" x14ac:dyDescent="0.45">
      <c r="A116" t="s">
        <v>47</v>
      </c>
      <c r="B116" t="str">
        <f t="shared" si="31"/>
        <v/>
      </c>
      <c r="C116" t="str">
        <f t="shared" si="32"/>
        <v/>
      </c>
      <c r="D116" t="s">
        <v>216</v>
      </c>
      <c r="E116" t="str">
        <f t="shared" si="33"/>
        <v/>
      </c>
      <c r="F116" t="str">
        <f t="shared" si="34"/>
        <v/>
      </c>
      <c r="G116" t="s">
        <v>47</v>
      </c>
      <c r="H116" t="str">
        <f t="shared" si="35"/>
        <v/>
      </c>
      <c r="I116" t="str">
        <f t="shared" si="36"/>
        <v/>
      </c>
      <c r="J116" t="s">
        <v>47</v>
      </c>
      <c r="K116" t="str">
        <f t="shared" si="37"/>
        <v/>
      </c>
      <c r="L116" t="str">
        <f t="shared" si="38"/>
        <v/>
      </c>
      <c r="M116" t="s">
        <v>47</v>
      </c>
      <c r="N116" t="str">
        <f t="shared" si="39"/>
        <v/>
      </c>
      <c r="O116" t="str">
        <f t="shared" si="40"/>
        <v/>
      </c>
      <c r="P116" t="s">
        <v>47</v>
      </c>
      <c r="Q116" t="str">
        <f t="shared" si="41"/>
        <v/>
      </c>
      <c r="R116" t="str">
        <f t="shared" si="42"/>
        <v/>
      </c>
      <c r="S116" t="s">
        <v>47</v>
      </c>
      <c r="T116" t="str">
        <f t="shared" si="43"/>
        <v/>
      </c>
      <c r="U116" t="str">
        <f t="shared" si="44"/>
        <v/>
      </c>
      <c r="V116" t="s">
        <v>47</v>
      </c>
      <c r="W116" t="str">
        <f t="shared" si="45"/>
        <v/>
      </c>
      <c r="X116" t="str">
        <f t="shared" si="46"/>
        <v/>
      </c>
      <c r="Y116" t="s">
        <v>47</v>
      </c>
      <c r="Z116" t="str">
        <f t="shared" si="47"/>
        <v/>
      </c>
      <c r="AA116" t="str">
        <f t="shared" si="48"/>
        <v/>
      </c>
      <c r="AB116" t="s">
        <v>47</v>
      </c>
      <c r="AC116" t="str">
        <f t="shared" si="49"/>
        <v/>
      </c>
      <c r="AD116" t="str">
        <f t="shared" si="50"/>
        <v/>
      </c>
      <c r="AF116" t="s">
        <v>47</v>
      </c>
      <c r="AG116" t="str">
        <f t="shared" si="51"/>
        <v/>
      </c>
      <c r="AH116" t="str">
        <f t="shared" si="52"/>
        <v/>
      </c>
      <c r="AI116" t="s">
        <v>47</v>
      </c>
      <c r="AK116" t="str">
        <f t="shared" si="53"/>
        <v/>
      </c>
      <c r="AL116" t="str">
        <f t="shared" si="54"/>
        <v/>
      </c>
      <c r="AM116" t="s">
        <v>47</v>
      </c>
      <c r="AN116" t="s">
        <v>0</v>
      </c>
      <c r="AO116" t="str">
        <f t="shared" si="55"/>
        <v/>
      </c>
      <c r="AP116" t="s">
        <v>47</v>
      </c>
      <c r="AQ116" t="str">
        <f t="shared" si="56"/>
        <v/>
      </c>
      <c r="AR116" t="str">
        <f t="shared" si="57"/>
        <v/>
      </c>
      <c r="AS116" t="s">
        <v>47</v>
      </c>
      <c r="AT116" t="str">
        <f t="shared" si="58"/>
        <v/>
      </c>
      <c r="AU116" t="str">
        <f t="shared" si="59"/>
        <v/>
      </c>
      <c r="AV116" t="s">
        <v>1124</v>
      </c>
      <c r="AW116" t="str">
        <f t="shared" si="60"/>
        <v/>
      </c>
      <c r="AX116" t="str">
        <f t="shared" si="61"/>
        <v/>
      </c>
    </row>
    <row r="117" spans="1:50" x14ac:dyDescent="0.45">
      <c r="A117" t="s">
        <v>103</v>
      </c>
      <c r="B117" t="str">
        <f t="shared" si="31"/>
        <v xml:space="preserve"> Detecting fraud by third parties </v>
      </c>
      <c r="C117" t="str">
        <f t="shared" si="32"/>
        <v xml:space="preserve"> 85.0% </v>
      </c>
      <c r="D117" t="s">
        <v>266</v>
      </c>
      <c r="E117" t="str">
        <f t="shared" si="33"/>
        <v xml:space="preserve"> Detecting fraud by third parties </v>
      </c>
      <c r="F117" t="str">
        <f t="shared" si="34"/>
        <v xml:space="preserve"> 52.0% </v>
      </c>
      <c r="G117" t="s">
        <v>571</v>
      </c>
      <c r="H117" t="str">
        <f t="shared" si="35"/>
        <v xml:space="preserve"> Detecting fraud by third parties </v>
      </c>
      <c r="I117" t="str">
        <f t="shared" si="36"/>
        <v xml:space="preserve"> 55.0% </v>
      </c>
      <c r="J117" t="s">
        <v>379</v>
      </c>
      <c r="K117" t="str">
        <f t="shared" si="37"/>
        <v xml:space="preserve"> Detecting fraud by third parties </v>
      </c>
      <c r="L117" t="str">
        <f t="shared" si="38"/>
        <v xml:space="preserve"> 60.0% </v>
      </c>
      <c r="M117" t="s">
        <v>478</v>
      </c>
      <c r="N117" t="str">
        <f t="shared" si="39"/>
        <v xml:space="preserve"> Detecting fraud by third parties </v>
      </c>
      <c r="O117" t="str">
        <f t="shared" si="40"/>
        <v xml:space="preserve"> 46.0% </v>
      </c>
      <c r="P117" t="s">
        <v>634</v>
      </c>
      <c r="Q117" t="str">
        <f t="shared" si="41"/>
        <v xml:space="preserve"> Detecting fraud by third parties </v>
      </c>
      <c r="R117" t="str">
        <f t="shared" si="42"/>
        <v xml:space="preserve"> 70.0% </v>
      </c>
      <c r="S117" t="s">
        <v>696</v>
      </c>
      <c r="T117" t="str">
        <f t="shared" si="43"/>
        <v xml:space="preserve"> Detecting fraud by third parties </v>
      </c>
      <c r="U117" t="str">
        <f t="shared" si="44"/>
        <v xml:space="preserve"> 68.0% </v>
      </c>
      <c r="V117" t="s">
        <v>744</v>
      </c>
      <c r="W117" t="str">
        <f t="shared" si="45"/>
        <v xml:space="preserve"> Detecting fraud by third parties </v>
      </c>
      <c r="X117" t="str">
        <f t="shared" si="46"/>
        <v xml:space="preserve"> 75.0% </v>
      </c>
      <c r="Y117" t="s">
        <v>379</v>
      </c>
      <c r="Z117" t="str">
        <f t="shared" si="47"/>
        <v xml:space="preserve"> Detecting fraud by third parties </v>
      </c>
      <c r="AA117" t="str">
        <f t="shared" si="48"/>
        <v xml:space="preserve"> 60.0% </v>
      </c>
      <c r="AB117" t="s">
        <v>634</v>
      </c>
      <c r="AC117" t="str">
        <f t="shared" si="49"/>
        <v xml:space="preserve"> Detecting fraud by third parties </v>
      </c>
      <c r="AD117" t="str">
        <f t="shared" si="50"/>
        <v xml:space="preserve"> 70.0% </v>
      </c>
      <c r="AF117" t="s">
        <v>878</v>
      </c>
      <c r="AG117" t="str">
        <f t="shared" si="51"/>
        <v xml:space="preserve"> Detecting fraud by third parties </v>
      </c>
      <c r="AH117" t="str">
        <f t="shared" si="52"/>
        <v xml:space="preserve"> 56.0% </v>
      </c>
      <c r="AI117" t="s">
        <v>744</v>
      </c>
      <c r="AK117" t="str">
        <f t="shared" si="53"/>
        <v xml:space="preserve"> Detecting fraud by third parties </v>
      </c>
      <c r="AL117" t="str">
        <f t="shared" si="54"/>
        <v xml:space="preserve"> 75.0% </v>
      </c>
      <c r="AM117" t="s">
        <v>930</v>
      </c>
      <c r="AN117" t="s">
        <v>0</v>
      </c>
      <c r="AO117" t="str">
        <f t="shared" si="55"/>
        <v xml:space="preserve"> 80.0% </v>
      </c>
      <c r="AP117" t="s">
        <v>1008</v>
      </c>
      <c r="AQ117" t="str">
        <f t="shared" si="56"/>
        <v xml:space="preserve"> Detecting fraud by third parties </v>
      </c>
      <c r="AR117" t="str">
        <f t="shared" si="57"/>
        <v xml:space="preserve"> 36.0% </v>
      </c>
      <c r="AS117" t="s">
        <v>1060</v>
      </c>
      <c r="AT117" t="str">
        <f t="shared" si="58"/>
        <v xml:space="preserve"> Detecting fraud by third parties </v>
      </c>
      <c r="AU117" t="str">
        <f t="shared" si="59"/>
        <v xml:space="preserve"> 50.0% </v>
      </c>
      <c r="AV117" t="s">
        <v>1181</v>
      </c>
      <c r="AW117" t="str">
        <f t="shared" si="60"/>
        <v>Detecting fraud by third parties</v>
      </c>
      <c r="AX117" t="str">
        <f t="shared" si="61"/>
        <v xml:space="preserve"> 20.0% </v>
      </c>
    </row>
    <row r="118" spans="1:50" x14ac:dyDescent="0.45">
      <c r="A118" t="s">
        <v>104</v>
      </c>
      <c r="B118" t="str">
        <f t="shared" si="31"/>
        <v xml:space="preserve"> Detecting fraud against third parties </v>
      </c>
      <c r="C118" t="str">
        <f t="shared" si="32"/>
        <v xml:space="preserve"> 75.0% </v>
      </c>
      <c r="D118" t="s">
        <v>267</v>
      </c>
      <c r="E118" t="str">
        <f t="shared" si="33"/>
        <v xml:space="preserve"> Detecting fraud against third parties </v>
      </c>
      <c r="F118" t="str">
        <f t="shared" si="34"/>
        <v xml:space="preserve"> 46.0% </v>
      </c>
      <c r="G118" t="s">
        <v>572</v>
      </c>
      <c r="H118" t="str">
        <f t="shared" si="35"/>
        <v xml:space="preserve"> Detecting fraud against third parties </v>
      </c>
      <c r="I118" t="str">
        <f t="shared" si="36"/>
        <v xml:space="preserve"> 40.0% </v>
      </c>
      <c r="J118" t="s">
        <v>380</v>
      </c>
      <c r="K118" t="str">
        <f t="shared" si="37"/>
        <v xml:space="preserve"> Detecting fraud against third parties </v>
      </c>
      <c r="L118" t="str">
        <f t="shared" si="38"/>
        <v xml:space="preserve"> 50.0% </v>
      </c>
      <c r="M118" t="s">
        <v>479</v>
      </c>
      <c r="N118" t="str">
        <f t="shared" si="39"/>
        <v xml:space="preserve"> Detecting fraud against third parties </v>
      </c>
      <c r="O118" t="str">
        <f t="shared" si="40"/>
        <v xml:space="preserve"> 41.0% </v>
      </c>
      <c r="P118" t="s">
        <v>635</v>
      </c>
      <c r="Q118" t="str">
        <f t="shared" si="41"/>
        <v xml:space="preserve"> Detecting fraud against third parties </v>
      </c>
      <c r="R118" t="str">
        <f t="shared" si="42"/>
        <v xml:space="preserve"> 55.0% </v>
      </c>
      <c r="S118" t="s">
        <v>697</v>
      </c>
      <c r="T118" t="str">
        <f t="shared" si="43"/>
        <v xml:space="preserve"> Detecting fraud against third parties </v>
      </c>
      <c r="U118" t="str">
        <f t="shared" si="44"/>
        <v xml:space="preserve"> 60.0% </v>
      </c>
      <c r="V118" t="s">
        <v>745</v>
      </c>
      <c r="W118" t="str">
        <f t="shared" si="45"/>
        <v xml:space="preserve"> Detecting fraud against third parties </v>
      </c>
      <c r="X118" t="str">
        <f t="shared" si="46"/>
        <v xml:space="preserve"> 70.0% </v>
      </c>
      <c r="Y118" t="s">
        <v>635</v>
      </c>
      <c r="Z118" t="str">
        <f t="shared" si="47"/>
        <v xml:space="preserve"> Detecting fraud against third parties </v>
      </c>
      <c r="AA118" t="str">
        <f t="shared" si="48"/>
        <v xml:space="preserve"> 55.0% </v>
      </c>
      <c r="AB118" t="s">
        <v>830</v>
      </c>
      <c r="AC118" t="str">
        <f t="shared" si="49"/>
        <v xml:space="preserve"> Detecting fraud against third parties </v>
      </c>
      <c r="AD118" t="str">
        <f t="shared" si="50"/>
        <v xml:space="preserve"> 65.0% </v>
      </c>
      <c r="AF118" t="s">
        <v>879</v>
      </c>
      <c r="AG118" t="str">
        <f t="shared" si="51"/>
        <v xml:space="preserve"> Detecting fraud against third parties </v>
      </c>
      <c r="AH118" t="str">
        <f t="shared" si="52"/>
        <v xml:space="preserve"> 52.0% </v>
      </c>
      <c r="AI118" t="s">
        <v>635</v>
      </c>
      <c r="AK118" t="str">
        <f t="shared" si="53"/>
        <v xml:space="preserve"> Detecting fraud against third parties </v>
      </c>
      <c r="AL118" t="str">
        <f t="shared" si="54"/>
        <v xml:space="preserve"> 55.0% </v>
      </c>
      <c r="AM118" t="s">
        <v>830</v>
      </c>
      <c r="AN118" t="s">
        <v>0</v>
      </c>
      <c r="AO118" t="str">
        <f t="shared" si="55"/>
        <v xml:space="preserve"> 65.0% </v>
      </c>
      <c r="AP118" t="s">
        <v>572</v>
      </c>
      <c r="AQ118" t="str">
        <f t="shared" si="56"/>
        <v xml:space="preserve"> Detecting fraud against third parties </v>
      </c>
      <c r="AR118" t="str">
        <f t="shared" si="57"/>
        <v xml:space="preserve"> 40.0% </v>
      </c>
      <c r="AS118" t="s">
        <v>697</v>
      </c>
      <c r="AT118" t="str">
        <f t="shared" si="58"/>
        <v xml:space="preserve"> Detecting fraud against third parties </v>
      </c>
      <c r="AU118" t="str">
        <f t="shared" si="59"/>
        <v xml:space="preserve"> 60.0% </v>
      </c>
      <c r="AV118" t="s">
        <v>1182</v>
      </c>
      <c r="AW118" t="str">
        <f t="shared" si="60"/>
        <v>Detecting fraud against third parties</v>
      </c>
      <c r="AX118" t="str">
        <f t="shared" si="61"/>
        <v xml:space="preserve"> 50.0% </v>
      </c>
    </row>
    <row r="119" spans="1:50" x14ac:dyDescent="0.45">
      <c r="A119" t="s">
        <v>105</v>
      </c>
      <c r="B119" t="str">
        <f t="shared" si="31"/>
        <v xml:space="preserve"> Monitoring partner behaviour / anomalies </v>
      </c>
      <c r="C119" t="str">
        <f t="shared" si="32"/>
        <v xml:space="preserve"> 60.0% </v>
      </c>
      <c r="D119" t="s">
        <v>268</v>
      </c>
      <c r="E119" t="str">
        <f t="shared" si="33"/>
        <v xml:space="preserve"> Monitoring partner behaviour / anomalies </v>
      </c>
      <c r="F119" t="str">
        <f t="shared" si="34"/>
        <v xml:space="preserve"> 38.0% </v>
      </c>
      <c r="G119" t="s">
        <v>384</v>
      </c>
      <c r="H119" t="str">
        <f t="shared" si="35"/>
        <v xml:space="preserve"> Monitoring partner behaviour / anomalies </v>
      </c>
      <c r="I119" t="str">
        <f t="shared" si="36"/>
        <v xml:space="preserve"> 35.0% </v>
      </c>
      <c r="J119" t="s">
        <v>381</v>
      </c>
      <c r="K119" t="str">
        <f t="shared" si="37"/>
        <v xml:space="preserve"> Monitoring partner behaviour / anomalies </v>
      </c>
      <c r="L119" t="str">
        <f t="shared" si="38"/>
        <v xml:space="preserve"> 40.0% </v>
      </c>
      <c r="M119" t="s">
        <v>480</v>
      </c>
      <c r="N119" t="str">
        <f t="shared" si="39"/>
        <v xml:space="preserve"> Monitoring partner behaviour / anomalies </v>
      </c>
      <c r="O119" t="str">
        <f t="shared" si="40"/>
        <v xml:space="preserve"> 37.0% </v>
      </c>
      <c r="P119" t="s">
        <v>105</v>
      </c>
      <c r="Q119" t="str">
        <f t="shared" si="41"/>
        <v xml:space="preserve"> Monitoring partner behaviour / anomalies </v>
      </c>
      <c r="R119" t="str">
        <f t="shared" si="42"/>
        <v xml:space="preserve"> 60.0% </v>
      </c>
      <c r="S119" t="s">
        <v>631</v>
      </c>
      <c r="T119" t="str">
        <f t="shared" si="43"/>
        <v xml:space="preserve"> Monitoring partner behaviour / anomalies </v>
      </c>
      <c r="U119" t="str">
        <f t="shared" si="44"/>
        <v xml:space="preserve"> 55.0% </v>
      </c>
      <c r="V119" t="s">
        <v>100</v>
      </c>
      <c r="W119" t="str">
        <f t="shared" si="45"/>
        <v xml:space="preserve"> Monitoring partner behaviour / anomalies </v>
      </c>
      <c r="X119" t="str">
        <f t="shared" si="46"/>
        <v xml:space="preserve"> 65.0% </v>
      </c>
      <c r="Y119" t="s">
        <v>109</v>
      </c>
      <c r="Z119" t="str">
        <f t="shared" si="47"/>
        <v xml:space="preserve"> Monitoring partner behaviour / anomalies </v>
      </c>
      <c r="AA119" t="str">
        <f t="shared" si="48"/>
        <v xml:space="preserve"> 50.0% </v>
      </c>
      <c r="AB119" t="s">
        <v>105</v>
      </c>
      <c r="AC119" t="str">
        <f t="shared" si="49"/>
        <v xml:space="preserve"> Monitoring partner behaviour / anomalies </v>
      </c>
      <c r="AD119" t="str">
        <f t="shared" si="50"/>
        <v xml:space="preserve"> 60.0% </v>
      </c>
      <c r="AF119" t="s">
        <v>880</v>
      </c>
      <c r="AG119" t="str">
        <f t="shared" si="51"/>
        <v xml:space="preserve"> Monitoring partner behaviour / anomalies </v>
      </c>
      <c r="AH119" t="str">
        <f t="shared" si="52"/>
        <v xml:space="preserve"> 54.0% </v>
      </c>
      <c r="AI119" t="s">
        <v>381</v>
      </c>
      <c r="AK119" t="str">
        <f t="shared" si="53"/>
        <v xml:space="preserve"> Monitoring partner behaviour / anomalies </v>
      </c>
      <c r="AL119" t="str">
        <f t="shared" si="54"/>
        <v xml:space="preserve"> 40.0% </v>
      </c>
      <c r="AM119" t="s">
        <v>631</v>
      </c>
      <c r="AN119" t="s">
        <v>0</v>
      </c>
      <c r="AO119" t="str">
        <f t="shared" si="55"/>
        <v xml:space="preserve"> 55.0% </v>
      </c>
      <c r="AP119" t="s">
        <v>272</v>
      </c>
      <c r="AQ119" t="str">
        <f t="shared" si="56"/>
        <v xml:space="preserve"> Monitoring partner behaviour / anomalies </v>
      </c>
      <c r="AR119" t="str">
        <f t="shared" si="57"/>
        <v xml:space="preserve"> 34.0% </v>
      </c>
      <c r="AS119" t="s">
        <v>1061</v>
      </c>
      <c r="AT119" t="str">
        <f t="shared" si="58"/>
        <v xml:space="preserve"> Monitoring partner behaviour / anomalies </v>
      </c>
      <c r="AU119" t="str">
        <f t="shared" si="59"/>
        <v xml:space="preserve"> 42.0% </v>
      </c>
      <c r="AV119" t="s">
        <v>1183</v>
      </c>
      <c r="AW119" t="str">
        <f t="shared" si="60"/>
        <v>Monitoring partner behaviour / anomalies</v>
      </c>
      <c r="AX119" t="str">
        <f t="shared" si="61"/>
        <v xml:space="preserve"> 35.0% </v>
      </c>
    </row>
    <row r="120" spans="1:50" x14ac:dyDescent="0.45">
      <c r="A120" t="s">
        <v>106</v>
      </c>
      <c r="B120" t="str">
        <f t="shared" si="31"/>
        <v xml:space="preserve"> Dispute prevention &amp; resolution </v>
      </c>
      <c r="C120" t="str">
        <f t="shared" si="32"/>
        <v xml:space="preserve"> 25.0% </v>
      </c>
      <c r="D120" t="s">
        <v>269</v>
      </c>
      <c r="E120" t="str">
        <f t="shared" si="33"/>
        <v xml:space="preserve"> Dispute prevention &amp; resolution </v>
      </c>
      <c r="F120" t="str">
        <f t="shared" si="34"/>
        <v xml:space="preserve"> 28.0% </v>
      </c>
      <c r="G120" t="s">
        <v>573</v>
      </c>
      <c r="H120" t="str">
        <f t="shared" si="35"/>
        <v xml:space="preserve"> Dispute prevention &amp; resolution </v>
      </c>
      <c r="I120" t="str">
        <f t="shared" si="36"/>
        <v xml:space="preserve"> 15.0% </v>
      </c>
      <c r="J120" t="s">
        <v>273</v>
      </c>
      <c r="K120" t="str">
        <f t="shared" si="37"/>
        <v xml:space="preserve"> Dispute prevention &amp; resolution </v>
      </c>
      <c r="L120" t="str">
        <f t="shared" si="38"/>
        <v xml:space="preserve"> 30.0% </v>
      </c>
      <c r="M120" t="s">
        <v>481</v>
      </c>
      <c r="N120" t="str">
        <f t="shared" si="39"/>
        <v xml:space="preserve"> Dispute prevention &amp; resolution </v>
      </c>
      <c r="O120" t="str">
        <f t="shared" si="40"/>
        <v xml:space="preserve"> 16.0% </v>
      </c>
      <c r="P120" t="s">
        <v>273</v>
      </c>
      <c r="Q120" t="str">
        <f t="shared" si="41"/>
        <v xml:space="preserve"> Dispute prevention &amp; resolution </v>
      </c>
      <c r="R120" t="str">
        <f t="shared" si="42"/>
        <v xml:space="preserve"> 30.0% </v>
      </c>
      <c r="S120" t="s">
        <v>106</v>
      </c>
      <c r="T120" t="str">
        <f t="shared" si="43"/>
        <v xml:space="preserve"> Dispute prevention &amp; resolution </v>
      </c>
      <c r="U120" t="str">
        <f t="shared" si="44"/>
        <v xml:space="preserve"> 25.0% </v>
      </c>
      <c r="V120" t="s">
        <v>746</v>
      </c>
      <c r="W120" t="str">
        <f t="shared" si="45"/>
        <v xml:space="preserve"> Dispute prevention &amp; resolution </v>
      </c>
      <c r="X120" t="str">
        <f t="shared" si="46"/>
        <v xml:space="preserve"> 60.0% </v>
      </c>
      <c r="Y120" t="s">
        <v>106</v>
      </c>
      <c r="Z120" t="str">
        <f t="shared" si="47"/>
        <v xml:space="preserve"> Dispute prevention &amp; resolution </v>
      </c>
      <c r="AA120" t="str">
        <f t="shared" si="48"/>
        <v xml:space="preserve"> 25.0% </v>
      </c>
      <c r="AB120" t="s">
        <v>110</v>
      </c>
      <c r="AC120" t="str">
        <f t="shared" si="49"/>
        <v xml:space="preserve"> Dispute prevention &amp; resolution </v>
      </c>
      <c r="AD120" t="str">
        <f t="shared" si="50"/>
        <v xml:space="preserve"> 40.0% </v>
      </c>
      <c r="AF120" t="s">
        <v>881</v>
      </c>
      <c r="AG120" t="str">
        <f t="shared" si="51"/>
        <v xml:space="preserve"> Dispute prevention &amp; resolution </v>
      </c>
      <c r="AH120" t="str">
        <f t="shared" si="52"/>
        <v xml:space="preserve"> 38.0% </v>
      </c>
      <c r="AI120" t="s">
        <v>791</v>
      </c>
      <c r="AK120" t="str">
        <f t="shared" si="53"/>
        <v xml:space="preserve"> Dispute prevention &amp; resolution </v>
      </c>
      <c r="AL120" t="str">
        <f t="shared" si="54"/>
        <v xml:space="preserve"> 20.0% </v>
      </c>
      <c r="AM120" t="s">
        <v>106</v>
      </c>
      <c r="AN120" t="s">
        <v>0</v>
      </c>
      <c r="AO120" t="str">
        <f t="shared" si="55"/>
        <v xml:space="preserve"> 25.0% </v>
      </c>
      <c r="AP120" t="s">
        <v>574</v>
      </c>
      <c r="AQ120" t="str">
        <f t="shared" si="56"/>
        <v xml:space="preserve"> Dispute prevention &amp; resolution </v>
      </c>
      <c r="AR120" t="str">
        <f t="shared" si="57"/>
        <v xml:space="preserve"> 22.0% </v>
      </c>
      <c r="AS120" t="s">
        <v>881</v>
      </c>
      <c r="AT120" t="str">
        <f t="shared" si="58"/>
        <v xml:space="preserve"> Dispute prevention &amp; resolution </v>
      </c>
      <c r="AU120" t="str">
        <f t="shared" si="59"/>
        <v xml:space="preserve"> 38.0% </v>
      </c>
      <c r="AV120" t="s">
        <v>1184</v>
      </c>
      <c r="AW120" t="str">
        <f t="shared" si="60"/>
        <v>Dispute prevention &amp; resolution</v>
      </c>
      <c r="AX120" t="str">
        <f t="shared" si="61"/>
        <v xml:space="preserve"> 25.0% </v>
      </c>
    </row>
    <row r="121" spans="1:50" x14ac:dyDescent="0.45">
      <c r="A121" t="s">
        <v>107</v>
      </c>
      <c r="B121" t="str">
        <f t="shared" si="31"/>
        <v xml:space="preserve"> Not used for third-party interactions </v>
      </c>
      <c r="C121" t="str">
        <f t="shared" si="32"/>
        <v xml:space="preserve"> 5.0% </v>
      </c>
      <c r="D121" t="s">
        <v>270</v>
      </c>
      <c r="E121" t="str">
        <f t="shared" si="33"/>
        <v xml:space="preserve"> Not used for third-party interactions </v>
      </c>
      <c r="F121" t="str">
        <f t="shared" si="34"/>
        <v xml:space="preserve"> 10.0% </v>
      </c>
      <c r="G121" t="s">
        <v>265</v>
      </c>
      <c r="H121" t="str">
        <f t="shared" si="35"/>
        <v xml:space="preserve"> Not used for third-party interactions </v>
      </c>
      <c r="I121" t="str">
        <f t="shared" si="36"/>
        <v xml:space="preserve"> 18.0% </v>
      </c>
      <c r="J121" t="s">
        <v>270</v>
      </c>
      <c r="K121" t="str">
        <f t="shared" si="37"/>
        <v xml:space="preserve"> Not used for third-party interactions </v>
      </c>
      <c r="L121" t="str">
        <f t="shared" si="38"/>
        <v xml:space="preserve"> 10.0% </v>
      </c>
      <c r="M121" t="s">
        <v>482</v>
      </c>
      <c r="N121" t="str">
        <f t="shared" si="39"/>
        <v xml:space="preserve"> Not used for third-party interactions </v>
      </c>
      <c r="O121" t="str">
        <f t="shared" si="40"/>
        <v xml:space="preserve"> 27.0% </v>
      </c>
      <c r="P121" t="s">
        <v>270</v>
      </c>
      <c r="Q121" t="str">
        <f t="shared" si="41"/>
        <v xml:space="preserve"> Not used for third-party interactions </v>
      </c>
      <c r="R121" t="str">
        <f t="shared" si="42"/>
        <v xml:space="preserve"> 10.0% </v>
      </c>
      <c r="S121" t="s">
        <v>102</v>
      </c>
      <c r="T121" t="str">
        <f t="shared" si="43"/>
        <v xml:space="preserve"> Not used for third-party interactions </v>
      </c>
      <c r="U121" t="str">
        <f t="shared" si="44"/>
        <v xml:space="preserve"> 15.0% </v>
      </c>
      <c r="V121" t="s">
        <v>270</v>
      </c>
      <c r="W121" t="str">
        <f t="shared" si="45"/>
        <v xml:space="preserve"> Not used for third-party interactions </v>
      </c>
      <c r="X121" t="str">
        <f t="shared" si="46"/>
        <v xml:space="preserve"> 10.0% </v>
      </c>
      <c r="Y121" t="s">
        <v>102</v>
      </c>
      <c r="Z121" t="str">
        <f t="shared" si="47"/>
        <v xml:space="preserve"> Not used for third-party interactions </v>
      </c>
      <c r="AA121" t="str">
        <f t="shared" si="48"/>
        <v xml:space="preserve"> 15.0% </v>
      </c>
      <c r="AB121" t="s">
        <v>270</v>
      </c>
      <c r="AC121" t="str">
        <f t="shared" si="49"/>
        <v xml:space="preserve"> Not used for third-party interactions </v>
      </c>
      <c r="AD121" t="str">
        <f t="shared" si="50"/>
        <v xml:space="preserve"> 10.0% </v>
      </c>
      <c r="AF121" t="s">
        <v>882</v>
      </c>
      <c r="AG121" t="str">
        <f t="shared" si="51"/>
        <v xml:space="preserve"> Not used for third-party interactions </v>
      </c>
      <c r="AH121" t="str">
        <f t="shared" si="52"/>
        <v xml:space="preserve"> 12.0% </v>
      </c>
      <c r="AI121" t="s">
        <v>102</v>
      </c>
      <c r="AK121" t="str">
        <f t="shared" si="53"/>
        <v xml:space="preserve"> Not used for third-party interactions </v>
      </c>
      <c r="AL121" t="str">
        <f t="shared" si="54"/>
        <v xml:space="preserve"> 15.0% </v>
      </c>
      <c r="AM121" t="s">
        <v>270</v>
      </c>
      <c r="AN121" t="s">
        <v>0</v>
      </c>
      <c r="AO121" t="str">
        <f t="shared" si="55"/>
        <v xml:space="preserve"> 10.0% </v>
      </c>
      <c r="AP121" t="s">
        <v>1009</v>
      </c>
      <c r="AQ121" t="str">
        <f t="shared" si="56"/>
        <v xml:space="preserve"> Not used for third-party interactions </v>
      </c>
      <c r="AR121" t="str">
        <f t="shared" si="57"/>
        <v xml:space="preserve"> 33.0% </v>
      </c>
      <c r="AS121" t="s">
        <v>1062</v>
      </c>
      <c r="AT121" t="str">
        <f t="shared" si="58"/>
        <v xml:space="preserve"> Not used for third-party interactions </v>
      </c>
      <c r="AU121" t="str">
        <f t="shared" si="59"/>
        <v xml:space="preserve"> 6.0% </v>
      </c>
      <c r="AV121" t="s">
        <v>1185</v>
      </c>
      <c r="AW121" t="str">
        <f t="shared" si="60"/>
        <v>Not used for third-party interactions</v>
      </c>
      <c r="AX121" t="str">
        <f t="shared" si="61"/>
        <v xml:space="preserve"> 10.0% </v>
      </c>
    </row>
    <row r="122" spans="1:50" x14ac:dyDescent="0.45">
      <c r="A122" t="s">
        <v>65</v>
      </c>
      <c r="B122" t="str">
        <f t="shared" si="31"/>
        <v xml:space="preserve"> Other </v>
      </c>
      <c r="C122" t="str">
        <f t="shared" si="32"/>
        <v xml:space="preserve"> 2.0% </v>
      </c>
      <c r="D122" t="s">
        <v>76</v>
      </c>
      <c r="E122" t="str">
        <f t="shared" si="33"/>
        <v xml:space="preserve"> Other </v>
      </c>
      <c r="F122" t="str">
        <f t="shared" si="34"/>
        <v xml:space="preserve"> 5.0% </v>
      </c>
      <c r="G122" t="s">
        <v>233</v>
      </c>
      <c r="H122" t="str">
        <f t="shared" si="35"/>
        <v xml:space="preserve"> Other </v>
      </c>
      <c r="I122" t="str">
        <f t="shared" si="36"/>
        <v xml:space="preserve"> 6.0% </v>
      </c>
      <c r="J122" t="s">
        <v>76</v>
      </c>
      <c r="K122" t="str">
        <f t="shared" si="37"/>
        <v xml:space="preserve"> Other </v>
      </c>
      <c r="L122" t="str">
        <f t="shared" si="38"/>
        <v xml:space="preserve"> 5.0% </v>
      </c>
      <c r="M122" t="s">
        <v>483</v>
      </c>
      <c r="N122" t="str">
        <f t="shared" si="39"/>
        <v xml:space="preserve"> Other </v>
      </c>
      <c r="O122" t="str">
        <f t="shared" si="40"/>
        <v xml:space="preserve"> 3.0% </v>
      </c>
      <c r="P122" t="s">
        <v>297</v>
      </c>
      <c r="Q122" t="str">
        <f t="shared" si="41"/>
        <v xml:space="preserve"> Other </v>
      </c>
      <c r="R122" t="str">
        <f t="shared" si="42"/>
        <v xml:space="preserve"> 4.0% </v>
      </c>
      <c r="S122" t="s">
        <v>76</v>
      </c>
      <c r="T122" t="str">
        <f t="shared" si="43"/>
        <v xml:space="preserve"> Other </v>
      </c>
      <c r="U122" t="str">
        <f t="shared" si="44"/>
        <v xml:space="preserve"> 5.0% </v>
      </c>
      <c r="V122" t="s">
        <v>76</v>
      </c>
      <c r="W122" t="str">
        <f t="shared" si="45"/>
        <v xml:space="preserve"> Other </v>
      </c>
      <c r="X122" t="str">
        <f t="shared" si="46"/>
        <v xml:space="preserve"> 5.0% </v>
      </c>
      <c r="Y122" t="s">
        <v>76</v>
      </c>
      <c r="Z122" t="str">
        <f t="shared" si="47"/>
        <v xml:space="preserve"> Other </v>
      </c>
      <c r="AA122" t="str">
        <f t="shared" si="48"/>
        <v xml:space="preserve"> 5.0% </v>
      </c>
      <c r="AB122" t="s">
        <v>275</v>
      </c>
      <c r="AC122" t="str">
        <f t="shared" si="49"/>
        <v xml:space="preserve"> Other </v>
      </c>
      <c r="AD122" t="str">
        <f t="shared" si="50"/>
        <v xml:space="preserve"> 8.0% </v>
      </c>
      <c r="AF122" t="s">
        <v>76</v>
      </c>
      <c r="AG122" t="str">
        <f t="shared" si="51"/>
        <v xml:space="preserve"> Other </v>
      </c>
      <c r="AH122" t="str">
        <f t="shared" si="52"/>
        <v xml:space="preserve"> 5.0% </v>
      </c>
      <c r="AI122" t="s">
        <v>65</v>
      </c>
      <c r="AK122" t="str">
        <f t="shared" si="53"/>
        <v xml:space="preserve"> Other </v>
      </c>
      <c r="AL122" t="str">
        <f t="shared" si="54"/>
        <v xml:space="preserve"> 2.0% </v>
      </c>
      <c r="AM122" t="s">
        <v>65</v>
      </c>
      <c r="AN122" t="s">
        <v>0</v>
      </c>
      <c r="AO122" t="str">
        <f t="shared" si="55"/>
        <v xml:space="preserve"> 2.0% </v>
      </c>
      <c r="AP122" t="s">
        <v>233</v>
      </c>
      <c r="AQ122" t="str">
        <f t="shared" si="56"/>
        <v xml:space="preserve"> Other </v>
      </c>
      <c r="AR122" t="str">
        <f t="shared" si="57"/>
        <v xml:space="preserve"> 6.0% </v>
      </c>
      <c r="AS122" t="s">
        <v>255</v>
      </c>
      <c r="AT122" t="str">
        <f t="shared" si="58"/>
        <v xml:space="preserve"> Other </v>
      </c>
      <c r="AU122" t="str">
        <f t="shared" si="59"/>
        <v xml:space="preserve"> 7.0% </v>
      </c>
      <c r="AV122" t="s">
        <v>1180</v>
      </c>
      <c r="AW122" t="str">
        <f t="shared" si="60"/>
        <v>Other</v>
      </c>
      <c r="AX122" t="str">
        <f t="shared" si="61"/>
        <v xml:space="preserve"> 5.0% </v>
      </c>
    </row>
    <row r="123" spans="1:50" x14ac:dyDescent="0.45">
      <c r="A123" t="s">
        <v>53</v>
      </c>
      <c r="B123" t="str">
        <f t="shared" si="31"/>
        <v/>
      </c>
      <c r="C123" t="str">
        <f t="shared" si="32"/>
        <v/>
      </c>
      <c r="D123" t="s">
        <v>222</v>
      </c>
      <c r="E123" t="str">
        <f t="shared" si="33"/>
        <v/>
      </c>
      <c r="F123" t="str">
        <f t="shared" si="34"/>
        <v/>
      </c>
      <c r="G123" t="s">
        <v>53</v>
      </c>
      <c r="H123" t="str">
        <f t="shared" si="35"/>
        <v/>
      </c>
      <c r="I123" t="str">
        <f t="shared" si="36"/>
        <v/>
      </c>
      <c r="J123" t="s">
        <v>53</v>
      </c>
      <c r="K123" t="str">
        <f t="shared" si="37"/>
        <v/>
      </c>
      <c r="L123" t="str">
        <f t="shared" si="38"/>
        <v/>
      </c>
      <c r="M123" t="s">
        <v>53</v>
      </c>
      <c r="N123" t="str">
        <f t="shared" si="39"/>
        <v/>
      </c>
      <c r="O123" t="str">
        <f t="shared" si="40"/>
        <v/>
      </c>
      <c r="P123" t="s">
        <v>53</v>
      </c>
      <c r="Q123" t="str">
        <f t="shared" si="41"/>
        <v/>
      </c>
      <c r="R123" t="str">
        <f t="shared" si="42"/>
        <v/>
      </c>
      <c r="S123" t="s">
        <v>53</v>
      </c>
      <c r="T123" t="str">
        <f t="shared" si="43"/>
        <v/>
      </c>
      <c r="U123" t="str">
        <f t="shared" si="44"/>
        <v/>
      </c>
      <c r="V123" t="s">
        <v>53</v>
      </c>
      <c r="W123" t="str">
        <f t="shared" si="45"/>
        <v/>
      </c>
      <c r="X123" t="str">
        <f t="shared" si="46"/>
        <v/>
      </c>
      <c r="Y123" t="s">
        <v>53</v>
      </c>
      <c r="Z123" t="str">
        <f t="shared" si="47"/>
        <v/>
      </c>
      <c r="AA123" t="str">
        <f t="shared" si="48"/>
        <v/>
      </c>
      <c r="AB123" t="s">
        <v>53</v>
      </c>
      <c r="AC123" t="str">
        <f t="shared" si="49"/>
        <v/>
      </c>
      <c r="AD123" t="str">
        <f t="shared" si="50"/>
        <v/>
      </c>
      <c r="AF123" t="s">
        <v>53</v>
      </c>
      <c r="AG123" t="str">
        <f t="shared" si="51"/>
        <v/>
      </c>
      <c r="AH123" t="str">
        <f t="shared" si="52"/>
        <v/>
      </c>
      <c r="AI123" t="s">
        <v>53</v>
      </c>
      <c r="AK123" t="str">
        <f t="shared" si="53"/>
        <v/>
      </c>
      <c r="AL123" t="str">
        <f t="shared" si="54"/>
        <v/>
      </c>
      <c r="AM123" t="s">
        <v>53</v>
      </c>
      <c r="AN123" t="s">
        <v>0</v>
      </c>
      <c r="AO123" t="str">
        <f t="shared" si="55"/>
        <v/>
      </c>
      <c r="AP123" t="s">
        <v>53</v>
      </c>
      <c r="AQ123" t="str">
        <f t="shared" si="56"/>
        <v/>
      </c>
      <c r="AR123" t="str">
        <f t="shared" si="57"/>
        <v/>
      </c>
      <c r="AS123" t="s">
        <v>53</v>
      </c>
      <c r="AT123" t="str">
        <f t="shared" si="58"/>
        <v/>
      </c>
      <c r="AU123" t="str">
        <f t="shared" si="59"/>
        <v/>
      </c>
      <c r="AV123" t="s">
        <v>1130</v>
      </c>
      <c r="AW123" t="str">
        <f t="shared" si="60"/>
        <v/>
      </c>
      <c r="AX123" t="str">
        <f t="shared" si="61"/>
        <v/>
      </c>
    </row>
    <row r="124" spans="1:50" x14ac:dyDescent="0.45">
      <c r="A124" t="s">
        <v>108</v>
      </c>
      <c r="B124" t="str">
        <f t="shared" si="31"/>
        <v xml:space="preserve"> Detecting fraud by third parties </v>
      </c>
      <c r="C124" t="str">
        <f t="shared" si="32"/>
        <v xml:space="preserve"> 30.0% </v>
      </c>
      <c r="D124" t="s">
        <v>108</v>
      </c>
      <c r="E124" t="str">
        <f t="shared" si="33"/>
        <v xml:space="preserve"> Detecting fraud by third parties </v>
      </c>
      <c r="F124" t="str">
        <f t="shared" si="34"/>
        <v xml:space="preserve"> 30.0% </v>
      </c>
      <c r="G124" t="s">
        <v>382</v>
      </c>
      <c r="H124" t="str">
        <f t="shared" si="35"/>
        <v xml:space="preserve"> Detecting fraud by third parties </v>
      </c>
      <c r="I124" t="str">
        <f t="shared" si="36"/>
        <v xml:space="preserve"> 20.0% </v>
      </c>
      <c r="J124" t="s">
        <v>382</v>
      </c>
      <c r="K124" t="str">
        <f t="shared" si="37"/>
        <v xml:space="preserve"> Detecting fraud by third parties </v>
      </c>
      <c r="L124" t="str">
        <f t="shared" si="38"/>
        <v xml:space="preserve"> 20.0% </v>
      </c>
      <c r="M124" t="s">
        <v>484</v>
      </c>
      <c r="N124" t="str">
        <f t="shared" si="39"/>
        <v xml:space="preserve"> Detecting fraud by third parties </v>
      </c>
      <c r="O124" t="str">
        <f t="shared" si="40"/>
        <v xml:space="preserve"> 15.0% </v>
      </c>
      <c r="P124" t="s">
        <v>108</v>
      </c>
      <c r="Q124" t="str">
        <f t="shared" si="41"/>
        <v xml:space="preserve"> Detecting fraud by third parties </v>
      </c>
      <c r="R124" t="str">
        <f t="shared" si="42"/>
        <v xml:space="preserve"> 30.0% </v>
      </c>
      <c r="S124" t="s">
        <v>108</v>
      </c>
      <c r="T124" t="str">
        <f t="shared" si="43"/>
        <v xml:space="preserve"> Detecting fraud by third parties </v>
      </c>
      <c r="U124" t="str">
        <f t="shared" si="44"/>
        <v xml:space="preserve"> 30.0% </v>
      </c>
      <c r="V124" t="s">
        <v>108</v>
      </c>
      <c r="W124" t="str">
        <f t="shared" si="45"/>
        <v xml:space="preserve"> Detecting fraud by third parties </v>
      </c>
      <c r="X124" t="str">
        <f t="shared" si="46"/>
        <v xml:space="preserve"> 30.0% </v>
      </c>
      <c r="Y124" t="s">
        <v>382</v>
      </c>
      <c r="Z124" t="str">
        <f t="shared" si="47"/>
        <v xml:space="preserve"> Detecting fraud by third parties </v>
      </c>
      <c r="AA124" t="str">
        <f t="shared" si="48"/>
        <v xml:space="preserve"> 20.0% </v>
      </c>
      <c r="AB124" t="s">
        <v>98</v>
      </c>
      <c r="AC124" t="str">
        <f t="shared" si="49"/>
        <v xml:space="preserve"> Detecting fraud by third parties </v>
      </c>
      <c r="AD124" t="str">
        <f t="shared" si="50"/>
        <v xml:space="preserve"> 25.0% </v>
      </c>
      <c r="AF124" t="s">
        <v>262</v>
      </c>
      <c r="AG124" t="str">
        <f t="shared" si="51"/>
        <v xml:space="preserve"> Detecting fraud by third parties </v>
      </c>
      <c r="AH124" t="str">
        <f t="shared" si="52"/>
        <v xml:space="preserve"> 28.0% </v>
      </c>
      <c r="AI124" t="s">
        <v>382</v>
      </c>
      <c r="AK124" t="str">
        <f t="shared" si="53"/>
        <v xml:space="preserve"> Detecting fraud by third parties </v>
      </c>
      <c r="AL124" t="str">
        <f t="shared" si="54"/>
        <v xml:space="preserve"> 20.0% </v>
      </c>
      <c r="AM124" t="s">
        <v>108</v>
      </c>
      <c r="AN124" t="s">
        <v>0</v>
      </c>
      <c r="AO124" t="str">
        <f t="shared" si="55"/>
        <v xml:space="preserve"> 30.0% </v>
      </c>
      <c r="AP124" t="s">
        <v>382</v>
      </c>
      <c r="AQ124" t="str">
        <f t="shared" si="56"/>
        <v xml:space="preserve"> Detecting fraud by third parties </v>
      </c>
      <c r="AR124" t="str">
        <f t="shared" si="57"/>
        <v xml:space="preserve"> 20.0% </v>
      </c>
      <c r="AS124" t="s">
        <v>1063</v>
      </c>
      <c r="AT124" t="str">
        <f t="shared" si="58"/>
        <v xml:space="preserve"> Detecting fraud by third parties </v>
      </c>
      <c r="AU124" t="str">
        <f t="shared" si="59"/>
        <v xml:space="preserve"> 22.0% </v>
      </c>
      <c r="AV124" t="s">
        <v>1186</v>
      </c>
      <c r="AW124" t="str">
        <f t="shared" si="60"/>
        <v>Detecting fraud by third parties</v>
      </c>
      <c r="AX124" t="str">
        <f t="shared" si="61"/>
        <v xml:space="preserve"> 15.0% </v>
      </c>
    </row>
    <row r="125" spans="1:50" x14ac:dyDescent="0.45">
      <c r="A125" t="s">
        <v>99</v>
      </c>
      <c r="B125" t="str">
        <f t="shared" si="31"/>
        <v xml:space="preserve"> Detecting fraud against third parties </v>
      </c>
      <c r="C125" t="str">
        <f t="shared" si="32"/>
        <v xml:space="preserve"> 20.0% </v>
      </c>
      <c r="D125" t="s">
        <v>271</v>
      </c>
      <c r="E125" t="str">
        <f t="shared" si="33"/>
        <v xml:space="preserve"> Detecting fraud against third parties </v>
      </c>
      <c r="F125" t="str">
        <f t="shared" si="34"/>
        <v xml:space="preserve"> 26.0% </v>
      </c>
      <c r="G125" t="s">
        <v>383</v>
      </c>
      <c r="H125" t="str">
        <f t="shared" si="35"/>
        <v xml:space="preserve"> Detecting fraud against third parties </v>
      </c>
      <c r="I125" t="str">
        <f t="shared" si="36"/>
        <v xml:space="preserve"> 15.0% </v>
      </c>
      <c r="J125" t="s">
        <v>383</v>
      </c>
      <c r="K125" t="str">
        <f t="shared" si="37"/>
        <v xml:space="preserve"> Detecting fraud against third parties </v>
      </c>
      <c r="L125" t="str">
        <f t="shared" si="38"/>
        <v xml:space="preserve"> 15.0% </v>
      </c>
      <c r="M125" t="s">
        <v>485</v>
      </c>
      <c r="N125" t="str">
        <f t="shared" si="39"/>
        <v xml:space="preserve"> Detecting fraud against third parties </v>
      </c>
      <c r="O125" t="str">
        <f t="shared" si="40"/>
        <v xml:space="preserve"> 14.0% </v>
      </c>
      <c r="P125" t="s">
        <v>99</v>
      </c>
      <c r="Q125" t="str">
        <f t="shared" si="41"/>
        <v xml:space="preserve"> Detecting fraud against third parties </v>
      </c>
      <c r="R125" t="str">
        <f t="shared" si="42"/>
        <v xml:space="preserve"> 20.0% </v>
      </c>
      <c r="S125" t="s">
        <v>378</v>
      </c>
      <c r="T125" t="str">
        <f t="shared" si="43"/>
        <v xml:space="preserve"> Detecting fraud against third parties </v>
      </c>
      <c r="U125" t="str">
        <f t="shared" si="44"/>
        <v xml:space="preserve"> 25.0% </v>
      </c>
      <c r="V125" t="s">
        <v>378</v>
      </c>
      <c r="W125" t="str">
        <f t="shared" si="45"/>
        <v xml:space="preserve"> Detecting fraud against third parties </v>
      </c>
      <c r="X125" t="str">
        <f t="shared" si="46"/>
        <v xml:space="preserve"> 25.0% </v>
      </c>
      <c r="Y125" t="s">
        <v>383</v>
      </c>
      <c r="Z125" t="str">
        <f t="shared" si="47"/>
        <v xml:space="preserve"> Detecting fraud against third parties </v>
      </c>
      <c r="AA125" t="str">
        <f t="shared" si="48"/>
        <v xml:space="preserve"> 15.0% </v>
      </c>
      <c r="AB125" t="s">
        <v>99</v>
      </c>
      <c r="AC125" t="str">
        <f t="shared" si="49"/>
        <v xml:space="preserve"> Detecting fraud against third parties </v>
      </c>
      <c r="AD125" t="str">
        <f t="shared" si="50"/>
        <v xml:space="preserve"> 20.0% </v>
      </c>
      <c r="AF125" t="s">
        <v>271</v>
      </c>
      <c r="AG125" t="str">
        <f t="shared" si="51"/>
        <v xml:space="preserve"> Detecting fraud against third parties </v>
      </c>
      <c r="AH125" t="str">
        <f t="shared" si="52"/>
        <v xml:space="preserve"> 26.0% </v>
      </c>
      <c r="AI125" t="s">
        <v>383</v>
      </c>
      <c r="AK125" t="str">
        <f t="shared" si="53"/>
        <v xml:space="preserve"> Detecting fraud against third parties </v>
      </c>
      <c r="AL125" t="str">
        <f t="shared" si="54"/>
        <v xml:space="preserve"> 15.0% </v>
      </c>
      <c r="AM125" t="s">
        <v>99</v>
      </c>
      <c r="AN125" t="s">
        <v>0</v>
      </c>
      <c r="AO125" t="str">
        <f t="shared" si="55"/>
        <v xml:space="preserve"> 20.0% </v>
      </c>
      <c r="AP125" t="s">
        <v>263</v>
      </c>
      <c r="AQ125" t="str">
        <f t="shared" si="56"/>
        <v xml:space="preserve"> Detecting fraud against third parties </v>
      </c>
      <c r="AR125" t="str">
        <f t="shared" si="57"/>
        <v xml:space="preserve"> 22.0% </v>
      </c>
      <c r="AS125" t="s">
        <v>1064</v>
      </c>
      <c r="AT125" t="str">
        <f t="shared" si="58"/>
        <v xml:space="preserve"> Detecting fraud against third parties </v>
      </c>
      <c r="AU125" t="str">
        <f t="shared" si="59"/>
        <v xml:space="preserve"> 18.0% </v>
      </c>
      <c r="AV125" t="s">
        <v>1187</v>
      </c>
      <c r="AW125" t="str">
        <f t="shared" si="60"/>
        <v>Detecting fraud against third parties</v>
      </c>
      <c r="AX125" t="str">
        <f t="shared" si="61"/>
        <v xml:space="preserve"> 20.0% </v>
      </c>
    </row>
    <row r="126" spans="1:50" x14ac:dyDescent="0.45">
      <c r="A126" t="s">
        <v>109</v>
      </c>
      <c r="B126" t="str">
        <f t="shared" si="31"/>
        <v xml:space="preserve"> Monitoring partner behaviour / anomalies </v>
      </c>
      <c r="C126" t="str">
        <f t="shared" si="32"/>
        <v xml:space="preserve"> 50.0% </v>
      </c>
      <c r="D126" t="s">
        <v>272</v>
      </c>
      <c r="E126" t="str">
        <f t="shared" si="33"/>
        <v xml:space="preserve"> Monitoring partner behaviour / anomalies </v>
      </c>
      <c r="F126" t="str">
        <f t="shared" si="34"/>
        <v xml:space="preserve"> 34.0% </v>
      </c>
      <c r="G126" t="s">
        <v>486</v>
      </c>
      <c r="H126" t="str">
        <f t="shared" si="35"/>
        <v xml:space="preserve"> Monitoring partner behaviour / anomalies </v>
      </c>
      <c r="I126" t="str">
        <f t="shared" si="36"/>
        <v xml:space="preserve"> 28.0% </v>
      </c>
      <c r="J126" t="s">
        <v>384</v>
      </c>
      <c r="K126" t="str">
        <f t="shared" si="37"/>
        <v xml:space="preserve"> Monitoring partner behaviour / anomalies </v>
      </c>
      <c r="L126" t="str">
        <f t="shared" si="38"/>
        <v xml:space="preserve"> 35.0% </v>
      </c>
      <c r="M126" t="s">
        <v>486</v>
      </c>
      <c r="N126" t="str">
        <f t="shared" si="39"/>
        <v xml:space="preserve"> Monitoring partner behaviour / anomalies </v>
      </c>
      <c r="O126" t="str">
        <f t="shared" si="40"/>
        <v xml:space="preserve"> 28.0% </v>
      </c>
      <c r="P126" t="s">
        <v>384</v>
      </c>
      <c r="Q126" t="str">
        <f t="shared" si="41"/>
        <v xml:space="preserve"> Monitoring partner behaviour / anomalies </v>
      </c>
      <c r="R126" t="str">
        <f t="shared" si="42"/>
        <v xml:space="preserve"> 35.0% </v>
      </c>
      <c r="S126" t="s">
        <v>384</v>
      </c>
      <c r="T126" t="str">
        <f t="shared" si="43"/>
        <v xml:space="preserve"> Monitoring partner behaviour / anomalies </v>
      </c>
      <c r="U126" t="str">
        <f t="shared" si="44"/>
        <v xml:space="preserve"> 35.0% </v>
      </c>
      <c r="V126" t="s">
        <v>109</v>
      </c>
      <c r="W126" t="str">
        <f t="shared" si="45"/>
        <v xml:space="preserve"> Monitoring partner behaviour / anomalies </v>
      </c>
      <c r="X126" t="str">
        <f t="shared" si="46"/>
        <v xml:space="preserve"> 50.0% </v>
      </c>
      <c r="Y126" t="s">
        <v>790</v>
      </c>
      <c r="Z126" t="str">
        <f t="shared" si="47"/>
        <v xml:space="preserve"> Monitoring partner behaviour / anomalies </v>
      </c>
      <c r="AA126" t="str">
        <f t="shared" si="48"/>
        <v xml:space="preserve"> 30.0% </v>
      </c>
      <c r="AB126" t="s">
        <v>384</v>
      </c>
      <c r="AC126" t="str">
        <f t="shared" si="49"/>
        <v xml:space="preserve"> Monitoring partner behaviour / anomalies </v>
      </c>
      <c r="AD126" t="str">
        <f t="shared" si="50"/>
        <v xml:space="preserve"> 35.0% </v>
      </c>
      <c r="AF126" t="s">
        <v>883</v>
      </c>
      <c r="AG126" t="str">
        <f t="shared" si="51"/>
        <v xml:space="preserve"> Monitoring partner behaviour / anomalies </v>
      </c>
      <c r="AH126" t="str">
        <f t="shared" si="52"/>
        <v xml:space="preserve"> 32.0% </v>
      </c>
      <c r="AI126" t="s">
        <v>961</v>
      </c>
      <c r="AK126" t="str">
        <f t="shared" si="53"/>
        <v xml:space="preserve"> Monitoring partner behaviour / anomalies </v>
      </c>
      <c r="AL126" t="str">
        <f t="shared" si="54"/>
        <v xml:space="preserve"> 25.0% </v>
      </c>
      <c r="AM126" t="s">
        <v>789</v>
      </c>
      <c r="AN126" t="s">
        <v>0</v>
      </c>
      <c r="AO126" t="str">
        <f t="shared" si="55"/>
        <v xml:space="preserve"> 45.0% </v>
      </c>
      <c r="AP126" t="s">
        <v>486</v>
      </c>
      <c r="AQ126" t="str">
        <f t="shared" si="56"/>
        <v xml:space="preserve"> Monitoring partner behaviour / anomalies </v>
      </c>
      <c r="AR126" t="str">
        <f t="shared" si="57"/>
        <v xml:space="preserve"> 28.0% </v>
      </c>
      <c r="AS126" t="s">
        <v>790</v>
      </c>
      <c r="AT126" t="str">
        <f t="shared" si="58"/>
        <v xml:space="preserve"> Monitoring partner behaviour / anomalies </v>
      </c>
      <c r="AU126" t="str">
        <f t="shared" si="59"/>
        <v xml:space="preserve"> 30.0% </v>
      </c>
      <c r="AV126" t="s">
        <v>1188</v>
      </c>
      <c r="AW126" t="str">
        <f t="shared" si="60"/>
        <v>Monitoring partner behaviour / anomalies</v>
      </c>
      <c r="AX126" t="str">
        <f t="shared" si="61"/>
        <v xml:space="preserve"> 25.0% </v>
      </c>
    </row>
    <row r="127" spans="1:50" x14ac:dyDescent="0.45">
      <c r="A127" t="s">
        <v>110</v>
      </c>
      <c r="B127" t="str">
        <f t="shared" si="31"/>
        <v xml:space="preserve"> Dispute prevention &amp; resolution </v>
      </c>
      <c r="C127" t="str">
        <f t="shared" si="32"/>
        <v xml:space="preserve"> 40.0% </v>
      </c>
      <c r="D127" t="s">
        <v>273</v>
      </c>
      <c r="E127" t="str">
        <f t="shared" si="33"/>
        <v xml:space="preserve"> Dispute prevention &amp; resolution </v>
      </c>
      <c r="F127" t="str">
        <f t="shared" si="34"/>
        <v xml:space="preserve"> 30.0% </v>
      </c>
      <c r="G127" t="s">
        <v>574</v>
      </c>
      <c r="H127" t="str">
        <f t="shared" si="35"/>
        <v xml:space="preserve"> Dispute prevention &amp; resolution </v>
      </c>
      <c r="I127" t="str">
        <f t="shared" si="36"/>
        <v xml:space="preserve"> 22.0% </v>
      </c>
      <c r="J127" t="s">
        <v>273</v>
      </c>
      <c r="K127" t="str">
        <f t="shared" si="37"/>
        <v xml:space="preserve"> Dispute prevention &amp; resolution </v>
      </c>
      <c r="L127" t="str">
        <f t="shared" si="38"/>
        <v xml:space="preserve"> 30.0% </v>
      </c>
      <c r="M127" t="s">
        <v>487</v>
      </c>
      <c r="N127" t="str">
        <f t="shared" si="39"/>
        <v xml:space="preserve"> Dispute prevention &amp; resolution </v>
      </c>
      <c r="O127" t="str">
        <f t="shared" si="40"/>
        <v xml:space="preserve"> 19.0% </v>
      </c>
      <c r="P127" t="s">
        <v>273</v>
      </c>
      <c r="Q127" t="str">
        <f t="shared" si="41"/>
        <v xml:space="preserve"> Dispute prevention &amp; resolution </v>
      </c>
      <c r="R127" t="str">
        <f t="shared" si="42"/>
        <v xml:space="preserve"> 30.0% </v>
      </c>
      <c r="S127" t="s">
        <v>269</v>
      </c>
      <c r="T127" t="str">
        <f t="shared" si="43"/>
        <v xml:space="preserve"> Dispute prevention &amp; resolution </v>
      </c>
      <c r="U127" t="str">
        <f t="shared" si="44"/>
        <v xml:space="preserve"> 28.0% </v>
      </c>
      <c r="V127" t="s">
        <v>110</v>
      </c>
      <c r="W127" t="str">
        <f t="shared" si="45"/>
        <v xml:space="preserve"> Dispute prevention &amp; resolution </v>
      </c>
      <c r="X127" t="str">
        <f t="shared" si="46"/>
        <v xml:space="preserve"> 40.0% </v>
      </c>
      <c r="Y127" t="s">
        <v>791</v>
      </c>
      <c r="Z127" t="str">
        <f t="shared" si="47"/>
        <v xml:space="preserve"> Dispute prevention &amp; resolution </v>
      </c>
      <c r="AA127" t="str">
        <f t="shared" si="48"/>
        <v xml:space="preserve"> 20.0% </v>
      </c>
      <c r="AB127" t="s">
        <v>106</v>
      </c>
      <c r="AC127" t="str">
        <f t="shared" si="49"/>
        <v xml:space="preserve"> Dispute prevention &amp; resolution </v>
      </c>
      <c r="AD127" t="str">
        <f t="shared" si="50"/>
        <v xml:space="preserve"> 25.0% </v>
      </c>
      <c r="AF127" t="s">
        <v>574</v>
      </c>
      <c r="AG127" t="str">
        <f t="shared" si="51"/>
        <v xml:space="preserve"> Dispute prevention &amp; resolution </v>
      </c>
      <c r="AH127" t="str">
        <f t="shared" si="52"/>
        <v xml:space="preserve"> 22.0% </v>
      </c>
      <c r="AI127" t="s">
        <v>791</v>
      </c>
      <c r="AK127" t="str">
        <f t="shared" si="53"/>
        <v xml:space="preserve"> Dispute prevention &amp; resolution </v>
      </c>
      <c r="AL127" t="str">
        <f t="shared" si="54"/>
        <v xml:space="preserve"> 20.0% </v>
      </c>
      <c r="AM127" t="s">
        <v>829</v>
      </c>
      <c r="AN127" t="s">
        <v>0</v>
      </c>
      <c r="AO127" t="str">
        <f t="shared" si="55"/>
        <v xml:space="preserve"> 35.0% </v>
      </c>
      <c r="AP127" t="s">
        <v>791</v>
      </c>
      <c r="AQ127" t="str">
        <f t="shared" si="56"/>
        <v xml:space="preserve"> Dispute prevention &amp; resolution </v>
      </c>
      <c r="AR127" t="str">
        <f t="shared" si="57"/>
        <v xml:space="preserve"> 20.0% </v>
      </c>
      <c r="AS127" t="s">
        <v>269</v>
      </c>
      <c r="AT127" t="str">
        <f t="shared" si="58"/>
        <v xml:space="preserve"> Dispute prevention &amp; resolution </v>
      </c>
      <c r="AU127" t="str">
        <f t="shared" si="59"/>
        <v xml:space="preserve"> 28.0% </v>
      </c>
      <c r="AV127" t="s">
        <v>1189</v>
      </c>
      <c r="AW127" t="str">
        <f t="shared" si="60"/>
        <v>Dispute prevention &amp; resolution</v>
      </c>
      <c r="AX127" t="str">
        <f t="shared" si="61"/>
        <v xml:space="preserve"> 15.0% </v>
      </c>
    </row>
    <row r="128" spans="1:50" x14ac:dyDescent="0.45">
      <c r="A128" t="s">
        <v>111</v>
      </c>
      <c r="B128" t="str">
        <f t="shared" si="31"/>
        <v xml:space="preserve"> Not used for third-party interactions </v>
      </c>
      <c r="C128" t="str">
        <f t="shared" si="32"/>
        <v xml:space="preserve"> 25.0% </v>
      </c>
      <c r="D128" t="s">
        <v>274</v>
      </c>
      <c r="E128" t="str">
        <f t="shared" si="33"/>
        <v xml:space="preserve"> Not used for third-party interactions </v>
      </c>
      <c r="F128" t="str">
        <f t="shared" si="34"/>
        <v xml:space="preserve"> 26.0% </v>
      </c>
      <c r="G128" t="s">
        <v>575</v>
      </c>
      <c r="H128" t="str">
        <f t="shared" si="35"/>
        <v xml:space="preserve"> Not used for third-party interactions </v>
      </c>
      <c r="I128" t="str">
        <f t="shared" si="36"/>
        <v xml:space="preserve"> 40.0% </v>
      </c>
      <c r="J128" t="s">
        <v>111</v>
      </c>
      <c r="K128" t="str">
        <f t="shared" si="37"/>
        <v xml:space="preserve"> Not used for third-party interactions </v>
      </c>
      <c r="L128" t="str">
        <f t="shared" si="38"/>
        <v xml:space="preserve"> 25.0% </v>
      </c>
      <c r="M128" t="s">
        <v>488</v>
      </c>
      <c r="N128" t="str">
        <f t="shared" si="39"/>
        <v xml:space="preserve"> Not used for third-party interactions </v>
      </c>
      <c r="O128" t="str">
        <f t="shared" si="40"/>
        <v xml:space="preserve"> 43.0% </v>
      </c>
      <c r="P128" t="s">
        <v>570</v>
      </c>
      <c r="Q128" t="str">
        <f t="shared" si="41"/>
        <v xml:space="preserve"> Not used for third-party interactions </v>
      </c>
      <c r="R128" t="str">
        <f t="shared" si="42"/>
        <v xml:space="preserve"> 35.0% </v>
      </c>
      <c r="S128" t="s">
        <v>698</v>
      </c>
      <c r="T128" t="str">
        <f t="shared" si="43"/>
        <v xml:space="preserve"> Not used for third-party interactions </v>
      </c>
      <c r="U128" t="str">
        <f t="shared" si="44"/>
        <v xml:space="preserve"> 38.0% </v>
      </c>
      <c r="V128" t="s">
        <v>575</v>
      </c>
      <c r="W128" t="str">
        <f t="shared" si="45"/>
        <v xml:space="preserve"> Not used for third-party interactions </v>
      </c>
      <c r="X128" t="str">
        <f t="shared" si="46"/>
        <v xml:space="preserve"> 40.0% </v>
      </c>
      <c r="Y128" t="s">
        <v>792</v>
      </c>
      <c r="Z128" t="str">
        <f t="shared" si="47"/>
        <v xml:space="preserve"> Not used for third-party interactions </v>
      </c>
      <c r="AA128" t="str">
        <f t="shared" si="48"/>
        <v xml:space="preserve"> 50.0% </v>
      </c>
      <c r="AB128" t="s">
        <v>570</v>
      </c>
      <c r="AC128" t="str">
        <f t="shared" si="49"/>
        <v xml:space="preserve"> Not used for third-party interactions </v>
      </c>
      <c r="AD128" t="str">
        <f t="shared" si="50"/>
        <v xml:space="preserve"> 35.0% </v>
      </c>
      <c r="AF128" t="s">
        <v>884</v>
      </c>
      <c r="AG128" t="str">
        <f t="shared" si="51"/>
        <v xml:space="preserve"> Not used for third-party interactions </v>
      </c>
      <c r="AH128" t="str">
        <f t="shared" si="52"/>
        <v xml:space="preserve"> 42.0% </v>
      </c>
      <c r="AI128" t="s">
        <v>962</v>
      </c>
      <c r="AK128" t="str">
        <f t="shared" si="53"/>
        <v xml:space="preserve"> Not used for third-party interactions </v>
      </c>
      <c r="AL128" t="str">
        <f t="shared" si="54"/>
        <v xml:space="preserve"> 45.0% </v>
      </c>
      <c r="AM128" t="s">
        <v>111</v>
      </c>
      <c r="AN128" t="s">
        <v>0</v>
      </c>
      <c r="AO128" t="str">
        <f t="shared" si="55"/>
        <v xml:space="preserve"> 25.0% </v>
      </c>
      <c r="AP128" t="s">
        <v>1010</v>
      </c>
      <c r="AQ128" t="str">
        <f t="shared" si="56"/>
        <v xml:space="preserve"> Not used for third-party interactions </v>
      </c>
      <c r="AR128" t="str">
        <f t="shared" si="57"/>
        <v xml:space="preserve"> 48.0% </v>
      </c>
      <c r="AS128" t="s">
        <v>570</v>
      </c>
      <c r="AT128" t="str">
        <f t="shared" si="58"/>
        <v xml:space="preserve"> Not used for third-party interactions </v>
      </c>
      <c r="AU128" t="str">
        <f t="shared" si="59"/>
        <v xml:space="preserve"> 35.0% </v>
      </c>
      <c r="AV128" t="s">
        <v>1190</v>
      </c>
      <c r="AW128" t="str">
        <f t="shared" si="60"/>
        <v>Not used for third-party interactions</v>
      </c>
      <c r="AX128" t="str">
        <f t="shared" si="61"/>
        <v xml:space="preserve"> 25.0% </v>
      </c>
    </row>
    <row r="129" spans="1:50" x14ac:dyDescent="0.45">
      <c r="A129" t="s">
        <v>76</v>
      </c>
      <c r="B129" t="str">
        <f t="shared" si="31"/>
        <v xml:space="preserve"> Other </v>
      </c>
      <c r="C129" t="str">
        <f t="shared" si="32"/>
        <v xml:space="preserve"> 5.0% </v>
      </c>
      <c r="D129" t="s">
        <v>275</v>
      </c>
      <c r="E129" t="str">
        <f t="shared" si="33"/>
        <v xml:space="preserve"> Other </v>
      </c>
      <c r="F129" t="str">
        <f t="shared" si="34"/>
        <v xml:space="preserve"> 8.0% </v>
      </c>
      <c r="G129" t="s">
        <v>275</v>
      </c>
      <c r="H129" t="str">
        <f t="shared" si="35"/>
        <v xml:space="preserve"> Other </v>
      </c>
      <c r="I129" t="str">
        <f t="shared" si="36"/>
        <v xml:space="preserve"> 8.0% </v>
      </c>
      <c r="J129" t="s">
        <v>96</v>
      </c>
      <c r="K129" t="str">
        <f t="shared" si="37"/>
        <v xml:space="preserve"> Other </v>
      </c>
      <c r="L129" t="str">
        <f t="shared" si="38"/>
        <v xml:space="preserve"> 10.0% </v>
      </c>
      <c r="M129" t="s">
        <v>233</v>
      </c>
      <c r="N129" t="str">
        <f t="shared" si="39"/>
        <v xml:space="preserve"> Other </v>
      </c>
      <c r="O129" t="str">
        <f t="shared" si="40"/>
        <v xml:space="preserve"> 6.0% </v>
      </c>
      <c r="P129" t="s">
        <v>275</v>
      </c>
      <c r="Q129" t="str">
        <f t="shared" si="41"/>
        <v xml:space="preserve"> Other </v>
      </c>
      <c r="R129" t="str">
        <f t="shared" si="42"/>
        <v xml:space="preserve"> 8.0% </v>
      </c>
      <c r="S129" t="s">
        <v>560</v>
      </c>
      <c r="T129" t="str">
        <f t="shared" si="43"/>
        <v xml:space="preserve"> Other </v>
      </c>
      <c r="U129" t="str">
        <f t="shared" si="44"/>
        <v xml:space="preserve"> 12.0% </v>
      </c>
      <c r="V129" t="s">
        <v>39</v>
      </c>
      <c r="W129" t="str">
        <f t="shared" si="45"/>
        <v xml:space="preserve"> Other </v>
      </c>
      <c r="X129" t="str">
        <f t="shared" si="46"/>
        <v xml:space="preserve"> 15.0% </v>
      </c>
      <c r="Y129" t="s">
        <v>96</v>
      </c>
      <c r="Z129" t="str">
        <f t="shared" si="47"/>
        <v xml:space="preserve"> Other </v>
      </c>
      <c r="AA129" t="str">
        <f t="shared" si="48"/>
        <v xml:space="preserve"> 10.0% </v>
      </c>
      <c r="AB129" t="s">
        <v>39</v>
      </c>
      <c r="AC129" t="str">
        <f t="shared" si="49"/>
        <v xml:space="preserve"> Other </v>
      </c>
      <c r="AD129" t="str">
        <f t="shared" si="50"/>
        <v xml:space="preserve"> 15.0% </v>
      </c>
      <c r="AF129" t="s">
        <v>275</v>
      </c>
      <c r="AG129" t="str">
        <f t="shared" si="51"/>
        <v xml:space="preserve"> Other </v>
      </c>
      <c r="AH129" t="str">
        <f t="shared" si="52"/>
        <v xml:space="preserve"> 8.0% </v>
      </c>
      <c r="AI129" t="s">
        <v>233</v>
      </c>
      <c r="AK129" t="str">
        <f t="shared" si="53"/>
        <v xml:space="preserve"> Other </v>
      </c>
      <c r="AL129" t="str">
        <f t="shared" si="54"/>
        <v xml:space="preserve"> 6.0% </v>
      </c>
      <c r="AM129" t="s">
        <v>76</v>
      </c>
      <c r="AN129" t="s">
        <v>0</v>
      </c>
      <c r="AO129" t="str">
        <f t="shared" si="55"/>
        <v xml:space="preserve"> 5.0% </v>
      </c>
      <c r="AP129" t="s">
        <v>96</v>
      </c>
      <c r="AQ129" t="str">
        <f t="shared" si="56"/>
        <v xml:space="preserve"> Other </v>
      </c>
      <c r="AR129" t="str">
        <f t="shared" si="57"/>
        <v xml:space="preserve"> 10.0% </v>
      </c>
      <c r="AS129" t="s">
        <v>255</v>
      </c>
      <c r="AT129" t="str">
        <f t="shared" si="58"/>
        <v xml:space="preserve"> Other </v>
      </c>
      <c r="AU129" t="str">
        <f t="shared" si="59"/>
        <v xml:space="preserve"> 7.0% </v>
      </c>
      <c r="AV129" t="s">
        <v>1116</v>
      </c>
      <c r="AW129" t="str">
        <f t="shared" si="60"/>
        <v>Other</v>
      </c>
      <c r="AX129" t="str">
        <f t="shared" si="61"/>
        <v xml:space="preserve"> 15.0% </v>
      </c>
    </row>
    <row r="130" spans="1:50" x14ac:dyDescent="0.45">
      <c r="A130" t="s">
        <v>112</v>
      </c>
      <c r="B130" t="str">
        <f t="shared" si="31"/>
        <v/>
      </c>
      <c r="C130" t="str">
        <f t="shared" si="32"/>
        <v/>
      </c>
      <c r="D130" t="s">
        <v>276</v>
      </c>
      <c r="E130" t="str">
        <f t="shared" si="33"/>
        <v/>
      </c>
      <c r="F130" t="str">
        <f t="shared" si="34"/>
        <v/>
      </c>
      <c r="G130" t="s">
        <v>112</v>
      </c>
      <c r="H130" t="str">
        <f t="shared" si="35"/>
        <v/>
      </c>
      <c r="I130" t="str">
        <f t="shared" si="36"/>
        <v/>
      </c>
      <c r="J130" t="s">
        <v>112</v>
      </c>
      <c r="K130" t="str">
        <f t="shared" si="37"/>
        <v/>
      </c>
      <c r="L130" t="str">
        <f t="shared" si="38"/>
        <v/>
      </c>
      <c r="M130" t="s">
        <v>112</v>
      </c>
      <c r="N130" t="str">
        <f t="shared" si="39"/>
        <v/>
      </c>
      <c r="O130" t="str">
        <f t="shared" si="40"/>
        <v/>
      </c>
      <c r="P130" t="s">
        <v>636</v>
      </c>
      <c r="Q130" t="str">
        <f t="shared" si="41"/>
        <v/>
      </c>
      <c r="R130" t="str">
        <f t="shared" si="42"/>
        <v/>
      </c>
      <c r="S130" t="s">
        <v>699</v>
      </c>
      <c r="T130" t="str">
        <f t="shared" si="43"/>
        <v/>
      </c>
      <c r="U130" t="str">
        <f t="shared" si="44"/>
        <v/>
      </c>
      <c r="V130" t="s">
        <v>747</v>
      </c>
      <c r="W130" t="str">
        <f t="shared" si="45"/>
        <v/>
      </c>
      <c r="X130" t="str">
        <f t="shared" si="46"/>
        <v/>
      </c>
      <c r="Y130" t="s">
        <v>112</v>
      </c>
      <c r="Z130" t="str">
        <f t="shared" si="47"/>
        <v/>
      </c>
      <c r="AA130" t="str">
        <f t="shared" si="48"/>
        <v/>
      </c>
      <c r="AB130" t="s">
        <v>112</v>
      </c>
      <c r="AC130" t="str">
        <f t="shared" si="49"/>
        <v/>
      </c>
      <c r="AD130" t="str">
        <f t="shared" si="50"/>
        <v/>
      </c>
      <c r="AF130" t="s">
        <v>112</v>
      </c>
      <c r="AG130" t="str">
        <f t="shared" si="51"/>
        <v/>
      </c>
      <c r="AH130" t="str">
        <f t="shared" si="52"/>
        <v/>
      </c>
      <c r="AI130" t="s">
        <v>112</v>
      </c>
      <c r="AK130" t="str">
        <f t="shared" si="53"/>
        <v/>
      </c>
      <c r="AL130" t="str">
        <f t="shared" si="54"/>
        <v/>
      </c>
      <c r="AM130" t="s">
        <v>112</v>
      </c>
      <c r="AN130" t="s">
        <v>0</v>
      </c>
      <c r="AO130" t="str">
        <f t="shared" si="55"/>
        <v/>
      </c>
      <c r="AP130" t="s">
        <v>112</v>
      </c>
      <c r="AQ130" t="str">
        <f t="shared" si="56"/>
        <v/>
      </c>
      <c r="AR130" t="str">
        <f t="shared" si="57"/>
        <v/>
      </c>
      <c r="AS130" t="s">
        <v>112</v>
      </c>
      <c r="AT130" t="str">
        <f t="shared" si="58"/>
        <v/>
      </c>
      <c r="AU130" t="str">
        <f t="shared" si="59"/>
        <v/>
      </c>
      <c r="AV130" t="s">
        <v>1191</v>
      </c>
      <c r="AW130" t="str">
        <f t="shared" si="60"/>
        <v/>
      </c>
      <c r="AX130" t="str">
        <f t="shared" si="61"/>
        <v/>
      </c>
    </row>
    <row r="131" spans="1:50" x14ac:dyDescent="0.45">
      <c r="A131" t="s">
        <v>41</v>
      </c>
      <c r="B131" t="str">
        <f t="shared" ref="B131:B194" si="62">IF(AND(LEFT(A131,1)="|",RIGHT(A131,1)="|",LEN(A131)-LEN(SUBSTITUTE(A131,"|",""))=3,LEN(TRIM(_xlfn.TEXTBEFORE(_xlfn.TEXTAFTER(A131,"|"),"|")))&gt;0,LEN(TRIM(_xlfn.TEXTBEFORE(_xlfn.TEXTAFTER(A131,"|",2),"|")))&gt;0),_xlfn.TEXTBEFORE(_xlfn.TEXTAFTER(A131,"|"),"|"),"")</f>
        <v/>
      </c>
      <c r="C131" t="str">
        <f t="shared" ref="C131:C194" si="63">IF(AND(LEFT(A131,1)="|",RIGHT(A131,1)="|",LEN(A131)-LEN(SUBSTITUTE(A131,"|",""))=3,LEN(TRIM(_xlfn.TEXTBEFORE(_xlfn.TEXTAFTER(A131,"|"),"|")))&gt;0,LEN(TRIM(_xlfn.TEXTBEFORE(_xlfn.TEXTAFTER(A131,"|",2),"|")))&gt;0),_xlfn.TEXTBEFORE(_xlfn.TEXTAFTER(A131,"|",2),"|"),"")</f>
        <v/>
      </c>
      <c r="D131" t="s">
        <v>212</v>
      </c>
      <c r="E131" t="str">
        <f t="shared" ref="E131:E194" si="64">IF(AND(LEFT(D131,1)="|",RIGHT(D131,1)="|",LEN(D131)-LEN(SUBSTITUTE(D131,"|",""))=3,LEN(TRIM(_xlfn.TEXTBEFORE(_xlfn.TEXTAFTER(D131,"|"),"|")))&gt;0,LEN(TRIM(_xlfn.TEXTBEFORE(_xlfn.TEXTAFTER(D131,"|",2),"|")))&gt;0),_xlfn.TEXTBEFORE(_xlfn.TEXTAFTER(D131,"|"),"|"),"")</f>
        <v/>
      </c>
      <c r="F131" t="str">
        <f t="shared" ref="F131:F194" si="65">IF(AND(LEFT(D131,1)="|",RIGHT(D131,1)="|",LEN(D131)-LEN(SUBSTITUTE(D131,"|",""))=3,LEN(TRIM(_xlfn.TEXTBEFORE(_xlfn.TEXTAFTER(D131,"|"),"|")))&gt;0,LEN(TRIM(_xlfn.TEXTBEFORE(_xlfn.TEXTAFTER(D131,"|",2),"|")))&gt;0),_xlfn.TEXTBEFORE(_xlfn.TEXTAFTER(D131,"|",2),"|"),"")</f>
        <v/>
      </c>
      <c r="G131" t="s">
        <v>41</v>
      </c>
      <c r="H131" t="str">
        <f t="shared" ref="H131:H194" si="66">IF(AND(LEFT(G131,1)="|",RIGHT(G131,1)="|",LEN(G131)-LEN(SUBSTITUTE(G131,"|",""))=3,LEN(TRIM(_xlfn.TEXTBEFORE(_xlfn.TEXTAFTER(G131,"|"),"|")))&gt;0,LEN(TRIM(_xlfn.TEXTBEFORE(_xlfn.TEXTAFTER(G131,"|",2),"|")))&gt;0),_xlfn.TEXTBEFORE(_xlfn.TEXTAFTER(G131,"|"),"|"),"")</f>
        <v/>
      </c>
      <c r="I131" t="str">
        <f t="shared" ref="I131:I194" si="67">IF(AND(LEFT(G131,1)="|",RIGHT(G131,1)="|",LEN(G131)-LEN(SUBSTITUTE(G131,"|",""))=3,LEN(TRIM(_xlfn.TEXTBEFORE(_xlfn.TEXTAFTER(G131,"|"),"|")))&gt;0,LEN(TRIM(_xlfn.TEXTBEFORE(_xlfn.TEXTAFTER(G131,"|",2),"|")))&gt;0),_xlfn.TEXTBEFORE(_xlfn.TEXTAFTER(G131,"|",2),"|"),"")</f>
        <v/>
      </c>
      <c r="J131" t="s">
        <v>41</v>
      </c>
      <c r="K131" t="str">
        <f t="shared" ref="K131:K194" si="68">IF(AND(LEFT(J131,1)="|",RIGHT(J131,1)="|",LEN(J131)-LEN(SUBSTITUTE(J131,"|",""))=3,LEN(TRIM(_xlfn.TEXTBEFORE(_xlfn.TEXTAFTER(J131,"|"),"|")))&gt;0,LEN(TRIM(_xlfn.TEXTBEFORE(_xlfn.TEXTAFTER(J131,"|",2),"|")))&gt;0),_xlfn.TEXTBEFORE(_xlfn.TEXTAFTER(J131,"|"),"|"),"")</f>
        <v/>
      </c>
      <c r="L131" t="str">
        <f t="shared" ref="L131:L194" si="69">IF(AND(LEFT(J131,1)="|",RIGHT(J131,1)="|",LEN(J131)-LEN(SUBSTITUTE(J131,"|",""))=3,LEN(TRIM(_xlfn.TEXTBEFORE(_xlfn.TEXTAFTER(J131,"|"),"|")))&gt;0,LEN(TRIM(_xlfn.TEXTBEFORE(_xlfn.TEXTAFTER(J131,"|",2),"|")))&gt;0),_xlfn.TEXTBEFORE(_xlfn.TEXTAFTER(J131,"|",2),"|"),"")</f>
        <v/>
      </c>
      <c r="M131" t="s">
        <v>41</v>
      </c>
      <c r="N131" t="str">
        <f t="shared" ref="N131:N194" si="70">IF(AND(LEFT(M131,1)="|",RIGHT(M131,1)="|",LEN(M131)-LEN(SUBSTITUTE(M131,"|",""))=3,LEN(TRIM(_xlfn.TEXTBEFORE(_xlfn.TEXTAFTER(M131,"|"),"|")))&gt;0,LEN(TRIM(_xlfn.TEXTBEFORE(_xlfn.TEXTAFTER(M131,"|",2),"|")))&gt;0),_xlfn.TEXTBEFORE(_xlfn.TEXTAFTER(M131,"|"),"|"),"")</f>
        <v/>
      </c>
      <c r="O131" t="str">
        <f t="shared" ref="O131:O194" si="71">IF(AND(LEFT(M131,1)="|",RIGHT(M131,1)="|",LEN(M131)-LEN(SUBSTITUTE(M131,"|",""))=3,LEN(TRIM(_xlfn.TEXTBEFORE(_xlfn.TEXTAFTER(M131,"|"),"|")))&gt;0,LEN(TRIM(_xlfn.TEXTBEFORE(_xlfn.TEXTAFTER(M131,"|",2),"|")))&gt;0),_xlfn.TEXTBEFORE(_xlfn.TEXTAFTER(M131,"|",2),"|"),"")</f>
        <v/>
      </c>
      <c r="P131" t="s">
        <v>41</v>
      </c>
      <c r="Q131" t="str">
        <f t="shared" ref="Q131:Q194" si="72">IF(AND(LEFT(P131,1)="|",RIGHT(P131,1)="|",LEN(P131)-LEN(SUBSTITUTE(P131,"|",""))=3,LEN(TRIM(_xlfn.TEXTBEFORE(_xlfn.TEXTAFTER(P131,"|"),"|")))&gt;0,LEN(TRIM(_xlfn.TEXTBEFORE(_xlfn.TEXTAFTER(P131,"|",2),"|")))&gt;0),_xlfn.TEXTBEFORE(_xlfn.TEXTAFTER(P131,"|"),"|"),"")</f>
        <v/>
      </c>
      <c r="R131" t="str">
        <f t="shared" ref="R131:R194" si="73">IF(AND(LEFT(P131,1)="|",RIGHT(P131,1)="|",LEN(P131)-LEN(SUBSTITUTE(P131,"|",""))=3,LEN(TRIM(_xlfn.TEXTBEFORE(_xlfn.TEXTAFTER(P131,"|"),"|")))&gt;0,LEN(TRIM(_xlfn.TEXTBEFORE(_xlfn.TEXTAFTER(P131,"|",2),"|")))&gt;0),_xlfn.TEXTBEFORE(_xlfn.TEXTAFTER(P131,"|",2),"|"),"")</f>
        <v/>
      </c>
      <c r="S131" t="s">
        <v>41</v>
      </c>
      <c r="T131" t="str">
        <f t="shared" ref="T131:T194" si="74">IF(AND(LEFT(S131,1)="|",RIGHT(S131,1)="|",LEN(S131)-LEN(SUBSTITUTE(S131,"|",""))=3,LEN(TRIM(_xlfn.TEXTBEFORE(_xlfn.TEXTAFTER(S131,"|"),"|")))&gt;0,LEN(TRIM(_xlfn.TEXTBEFORE(_xlfn.TEXTAFTER(S131,"|",2),"|")))&gt;0),_xlfn.TEXTBEFORE(_xlfn.TEXTAFTER(S131,"|"),"|"),"")</f>
        <v/>
      </c>
      <c r="U131" t="str">
        <f t="shared" ref="U131:U194" si="75">IF(AND(LEFT(S131,1)="|",RIGHT(S131,1)="|",LEN(S131)-LEN(SUBSTITUTE(S131,"|",""))=3,LEN(TRIM(_xlfn.TEXTBEFORE(_xlfn.TEXTAFTER(S131,"|"),"|")))&gt;0,LEN(TRIM(_xlfn.TEXTBEFORE(_xlfn.TEXTAFTER(S131,"|",2),"|")))&gt;0),_xlfn.TEXTBEFORE(_xlfn.TEXTAFTER(S131,"|",2),"|"),"")</f>
        <v/>
      </c>
      <c r="V131" t="s">
        <v>41</v>
      </c>
      <c r="W131" t="str">
        <f t="shared" ref="W131:W194" si="76">IF(AND(LEFT(V131,1)="|",RIGHT(V131,1)="|",LEN(V131)-LEN(SUBSTITUTE(V131,"|",""))=3,LEN(TRIM(_xlfn.TEXTBEFORE(_xlfn.TEXTAFTER(V131,"|"),"|")))&gt;0,LEN(TRIM(_xlfn.TEXTBEFORE(_xlfn.TEXTAFTER(V131,"|",2),"|")))&gt;0),_xlfn.TEXTBEFORE(_xlfn.TEXTAFTER(V131,"|"),"|"),"")</f>
        <v/>
      </c>
      <c r="X131" t="str">
        <f t="shared" ref="X131:X194" si="77">IF(AND(LEFT(V131,1)="|",RIGHT(V131,1)="|",LEN(V131)-LEN(SUBSTITUTE(V131,"|",""))=3,LEN(TRIM(_xlfn.TEXTBEFORE(_xlfn.TEXTAFTER(V131,"|"),"|")))&gt;0,LEN(TRIM(_xlfn.TEXTBEFORE(_xlfn.TEXTAFTER(V131,"|",2),"|")))&gt;0),_xlfn.TEXTBEFORE(_xlfn.TEXTAFTER(V131,"|",2),"|"),"")</f>
        <v/>
      </c>
      <c r="Y131" t="s">
        <v>41</v>
      </c>
      <c r="Z131" t="str">
        <f t="shared" ref="Z131:Z194" si="78">IF(AND(LEFT(Y131,1)="|",RIGHT(Y131,1)="|",LEN(Y131)-LEN(SUBSTITUTE(Y131,"|",""))=3,LEN(TRIM(_xlfn.TEXTBEFORE(_xlfn.TEXTAFTER(Y131,"|"),"|")))&gt;0,LEN(TRIM(_xlfn.TEXTBEFORE(_xlfn.TEXTAFTER(Y131,"|",2),"|")))&gt;0),_xlfn.TEXTBEFORE(_xlfn.TEXTAFTER(Y131,"|"),"|"),"")</f>
        <v/>
      </c>
      <c r="AA131" t="str">
        <f t="shared" ref="AA131:AA194" si="79">IF(AND(LEFT(Y131,1)="|",RIGHT(Y131,1)="|",LEN(Y131)-LEN(SUBSTITUTE(Y131,"|",""))=3,LEN(TRIM(_xlfn.TEXTBEFORE(_xlfn.TEXTAFTER(Y131,"|"),"|")))&gt;0,LEN(TRIM(_xlfn.TEXTBEFORE(_xlfn.TEXTAFTER(Y131,"|",2),"|")))&gt;0),_xlfn.TEXTBEFORE(_xlfn.TEXTAFTER(Y131,"|",2),"|"),"")</f>
        <v/>
      </c>
      <c r="AB131" t="s">
        <v>41</v>
      </c>
      <c r="AC131" t="str">
        <f t="shared" ref="AC131:AC194" si="80">IF(AND(LEFT(AB131,1)="|",RIGHT(AB131,1)="|",LEN(AB131)-LEN(SUBSTITUTE(AB131,"|",""))=3,LEN(TRIM(_xlfn.TEXTBEFORE(_xlfn.TEXTAFTER(AB131,"|"),"|")))&gt;0,LEN(TRIM(_xlfn.TEXTBEFORE(_xlfn.TEXTAFTER(AB131,"|",2),"|")))&gt;0),_xlfn.TEXTBEFORE(_xlfn.TEXTAFTER(AB131,"|"),"|"),"")</f>
        <v/>
      </c>
      <c r="AD131" t="str">
        <f t="shared" ref="AD131:AD194" si="81">IF(AND(LEFT(AB131,1)="|",RIGHT(AB131,1)="|",LEN(AB131)-LEN(SUBSTITUTE(AB131,"|",""))=3,LEN(TRIM(_xlfn.TEXTBEFORE(_xlfn.TEXTAFTER(AB131,"|"),"|")))&gt;0,LEN(TRIM(_xlfn.TEXTBEFORE(_xlfn.TEXTAFTER(AB131,"|",2),"|")))&gt;0),_xlfn.TEXTBEFORE(_xlfn.TEXTAFTER(AB131,"|",2),"|"),"")</f>
        <v/>
      </c>
      <c r="AF131" t="s">
        <v>41</v>
      </c>
      <c r="AG131" t="str">
        <f t="shared" ref="AG131:AG194" si="82">IF(AND(LEFT(AF131,1)="|",RIGHT(AF131,1)="|",LEN(AF131)-LEN(SUBSTITUTE(AF131,"|",""))=3,LEN(TRIM(_xlfn.TEXTBEFORE(_xlfn.TEXTAFTER(AF131,"|"),"|")))&gt;0,LEN(TRIM(_xlfn.TEXTBEFORE(_xlfn.TEXTAFTER(AF131,"|",2),"|")))&gt;0),_xlfn.TEXTBEFORE(_xlfn.TEXTAFTER(AF131,"|"),"|"),"")</f>
        <v/>
      </c>
      <c r="AH131" t="str">
        <f t="shared" ref="AH131:AH194" si="83">IF(AND(LEFT(AF131,1)="|",RIGHT(AF131,1)="|",LEN(AF131)-LEN(SUBSTITUTE(AF131,"|",""))=3,LEN(TRIM(_xlfn.TEXTBEFORE(_xlfn.TEXTAFTER(AF131,"|"),"|")))&gt;0,LEN(TRIM(_xlfn.TEXTBEFORE(_xlfn.TEXTAFTER(AF131,"|",2),"|")))&gt;0),_xlfn.TEXTBEFORE(_xlfn.TEXTAFTER(AF131,"|",2),"|"),"")</f>
        <v/>
      </c>
      <c r="AI131" t="s">
        <v>41</v>
      </c>
      <c r="AK131" t="str">
        <f t="shared" ref="AK131:AK194" si="84">IF(AND(LEFT(AI131,1)="|",RIGHT(AI131,1)="|",LEN(AI131)-LEN(SUBSTITUTE(AI131,"|",""))=3,LEN(TRIM(_xlfn.TEXTBEFORE(_xlfn.TEXTAFTER(AI131,"|"),"|")))&gt;0,LEN(TRIM(_xlfn.TEXTBEFORE(_xlfn.TEXTAFTER(AI131,"|",2),"|")))&gt;0),_xlfn.TEXTBEFORE(_xlfn.TEXTAFTER(AI131,"|"),"|"),"")</f>
        <v/>
      </c>
      <c r="AL131" t="str">
        <f t="shared" ref="AL131:AL194" si="85">IF(AND(LEFT(AI131,1)="|",RIGHT(AI131,1)="|",LEN(AI131)-LEN(SUBSTITUTE(AI131,"|",""))=3,LEN(TRIM(_xlfn.TEXTBEFORE(_xlfn.TEXTAFTER(AI131,"|"),"|")))&gt;0,LEN(TRIM(_xlfn.TEXTBEFORE(_xlfn.TEXTAFTER(AI131,"|",2),"|")))&gt;0),_xlfn.TEXTBEFORE(_xlfn.TEXTAFTER(AI131,"|",2),"|"),"")</f>
        <v/>
      </c>
      <c r="AM131" t="s">
        <v>41</v>
      </c>
      <c r="AN131" t="s">
        <v>0</v>
      </c>
      <c r="AO131" t="str">
        <f t="shared" ref="AO131:AO194" si="86">IF(AND(LEFT(AM131,1)="|",RIGHT(AM131,1)="|",LEN(AM131)-LEN(SUBSTITUTE(AM131,"|",""))=3,LEN(TRIM(_xlfn.TEXTBEFORE(_xlfn.TEXTAFTER(AM131,"|"),"|")))&gt;0,LEN(TRIM(_xlfn.TEXTBEFORE(_xlfn.TEXTAFTER(AM131,"|",2),"|")))&gt;0),_xlfn.TEXTBEFORE(_xlfn.TEXTAFTER(AM131,"|",2),"|"),"")</f>
        <v/>
      </c>
      <c r="AP131" t="s">
        <v>41</v>
      </c>
      <c r="AQ131" t="str">
        <f t="shared" ref="AQ131:AQ194" si="87">IF(AND(LEFT(AP131,1)="|",RIGHT(AP131,1)="|",LEN(AP131)-LEN(SUBSTITUTE(AP131,"|",""))=3,LEN(TRIM(_xlfn.TEXTBEFORE(_xlfn.TEXTAFTER(AP131,"|"),"|")))&gt;0,LEN(TRIM(_xlfn.TEXTBEFORE(_xlfn.TEXTAFTER(AP131,"|",2),"|")))&gt;0),_xlfn.TEXTBEFORE(_xlfn.TEXTAFTER(AP131,"|"),"|"),"")</f>
        <v/>
      </c>
      <c r="AR131" t="str">
        <f t="shared" ref="AR131:AR194" si="88">IF(AND(LEFT(AP131,1)="|",RIGHT(AP131,1)="|",LEN(AP131)-LEN(SUBSTITUTE(AP131,"|",""))=3,LEN(TRIM(_xlfn.TEXTBEFORE(_xlfn.TEXTAFTER(AP131,"|"),"|")))&gt;0,LEN(TRIM(_xlfn.TEXTBEFORE(_xlfn.TEXTAFTER(AP131,"|",2),"|")))&gt;0),_xlfn.TEXTBEFORE(_xlfn.TEXTAFTER(AP131,"|",2),"|"),"")</f>
        <v/>
      </c>
      <c r="AS131" t="s">
        <v>41</v>
      </c>
      <c r="AT131" t="str">
        <f t="shared" ref="AT131:AT194" si="89">IF(AND(LEFT(AS131,1)="|",RIGHT(AS131,1)="|",LEN(AS131)-LEN(SUBSTITUTE(AS131,"|",""))=3,LEN(TRIM(_xlfn.TEXTBEFORE(_xlfn.TEXTAFTER(AS131,"|"),"|")))&gt;0,LEN(TRIM(_xlfn.TEXTBEFORE(_xlfn.TEXTAFTER(AS131,"|",2),"|")))&gt;0),_xlfn.TEXTBEFORE(_xlfn.TEXTAFTER(AS131,"|"),"|"),"")</f>
        <v/>
      </c>
      <c r="AU131" t="str">
        <f t="shared" ref="AU131:AU194" si="90">IF(AND(LEFT(AS131,1)="|",RIGHT(AS131,1)="|",LEN(AS131)-LEN(SUBSTITUTE(AS131,"|",""))=3,LEN(TRIM(_xlfn.TEXTBEFORE(_xlfn.TEXTAFTER(AS131,"|"),"|")))&gt;0,LEN(TRIM(_xlfn.TEXTBEFORE(_xlfn.TEXTAFTER(AS131,"|",2),"|")))&gt;0),_xlfn.TEXTBEFORE(_xlfn.TEXTAFTER(AS131,"|",2),"|"),"")</f>
        <v/>
      </c>
      <c r="AV131" t="s">
        <v>1118</v>
      </c>
      <c r="AW131" t="str">
        <f t="shared" ref="AW131:AW194" si="91">IF(AND(LEFT(AV131,1)="|",RIGHT(AV131,1)="|",LEN(AV131)-LEN(SUBSTITUTE(AV131,"|",""))=3,LEN(TRIM(_xlfn.TEXTBEFORE(_xlfn.TEXTAFTER(AV131,"|"),"|")))&gt;0,LEN(TRIM(_xlfn.TEXTBEFORE(_xlfn.TEXTAFTER(AV131,"|",2),"|")))&gt;0),_xlfn.TEXTBEFORE(_xlfn.TEXTAFTER(AV131,"|"),"|"),"")</f>
        <v/>
      </c>
      <c r="AX131" t="str">
        <f t="shared" ref="AX131:AX194" si="92">IF(AND(LEFT(AV131,1)="|",RIGHT(AV131,1)="|",LEN(AV131)-LEN(SUBSTITUTE(AV131,"|",""))=3,LEN(TRIM(_xlfn.TEXTBEFORE(_xlfn.TEXTAFTER(AV131,"|"),"|")))&gt;0,LEN(TRIM(_xlfn.TEXTBEFORE(_xlfn.TEXTAFTER(AV131,"|",2),"|")))&gt;0),_xlfn.TEXTBEFORE(_xlfn.TEXTAFTER(AV131,"|",2),"|"),"")</f>
        <v/>
      </c>
    </row>
    <row r="132" spans="1:50" x14ac:dyDescent="0.45">
      <c r="A132" t="s">
        <v>113</v>
      </c>
      <c r="B132" t="str">
        <f t="shared" si="62"/>
        <v xml:space="preserve"> Designing / creating controls </v>
      </c>
      <c r="C132" t="str">
        <f t="shared" si="63"/>
        <v xml:space="preserve"> 20.0% </v>
      </c>
      <c r="D132" t="s">
        <v>277</v>
      </c>
      <c r="E132" t="str">
        <f t="shared" si="64"/>
        <v xml:space="preserve"> Designing / creating controls </v>
      </c>
      <c r="F132" t="str">
        <f t="shared" si="65"/>
        <v xml:space="preserve"> 28.0% </v>
      </c>
      <c r="G132" t="s">
        <v>118</v>
      </c>
      <c r="H132" t="str">
        <f t="shared" si="66"/>
        <v xml:space="preserve"> Designing / creating controls </v>
      </c>
      <c r="I132" t="str">
        <f t="shared" si="67"/>
        <v xml:space="preserve"> 25.0% </v>
      </c>
      <c r="J132" t="s">
        <v>123</v>
      </c>
      <c r="K132" t="str">
        <f t="shared" si="68"/>
        <v xml:space="preserve"> Designing / creating controls </v>
      </c>
      <c r="L132" t="str">
        <f t="shared" si="69"/>
        <v xml:space="preserve"> 30.0% </v>
      </c>
      <c r="M132" t="s">
        <v>282</v>
      </c>
      <c r="N132" t="str">
        <f t="shared" si="70"/>
        <v xml:space="preserve"> Designing / creating controls </v>
      </c>
      <c r="O132" t="str">
        <f t="shared" si="71"/>
        <v xml:space="preserve"> 26.0% </v>
      </c>
      <c r="P132" t="s">
        <v>118</v>
      </c>
      <c r="Q132" t="str">
        <f t="shared" si="72"/>
        <v xml:space="preserve"> Designing / creating controls </v>
      </c>
      <c r="R132" t="str">
        <f t="shared" si="73"/>
        <v xml:space="preserve"> 25.0% </v>
      </c>
      <c r="S132" t="s">
        <v>123</v>
      </c>
      <c r="T132" t="str">
        <f t="shared" si="74"/>
        <v xml:space="preserve"> Designing / creating controls </v>
      </c>
      <c r="U132" t="str">
        <f t="shared" si="75"/>
        <v xml:space="preserve"> 30.0% </v>
      </c>
      <c r="V132" t="s">
        <v>748</v>
      </c>
      <c r="W132" t="str">
        <f t="shared" si="76"/>
        <v xml:space="preserve"> Designing / creating controls </v>
      </c>
      <c r="X132" t="str">
        <f t="shared" si="77"/>
        <v xml:space="preserve"> 45.0% </v>
      </c>
      <c r="Y132" t="s">
        <v>113</v>
      </c>
      <c r="Z132" t="str">
        <f t="shared" si="78"/>
        <v xml:space="preserve"> Designing / creating controls </v>
      </c>
      <c r="AA132" t="str">
        <f t="shared" si="79"/>
        <v xml:space="preserve"> 20.0% </v>
      </c>
      <c r="AB132" t="s">
        <v>118</v>
      </c>
      <c r="AC132" t="str">
        <f t="shared" si="80"/>
        <v xml:space="preserve"> Designing / creating controls </v>
      </c>
      <c r="AD132" t="str">
        <f t="shared" si="81"/>
        <v xml:space="preserve"> 25.0% </v>
      </c>
      <c r="AF132" t="s">
        <v>885</v>
      </c>
      <c r="AG132" t="str">
        <f t="shared" si="82"/>
        <v xml:space="preserve"> Designing / creating controls </v>
      </c>
      <c r="AH132" t="str">
        <f t="shared" si="83"/>
        <v xml:space="preserve"> 36.0% </v>
      </c>
      <c r="AI132" t="s">
        <v>113</v>
      </c>
      <c r="AK132" t="str">
        <f t="shared" si="84"/>
        <v xml:space="preserve"> Designing / creating controls </v>
      </c>
      <c r="AL132" t="str">
        <f t="shared" si="85"/>
        <v xml:space="preserve"> 20.0% </v>
      </c>
      <c r="AM132" t="s">
        <v>113</v>
      </c>
      <c r="AN132" t="s">
        <v>0</v>
      </c>
      <c r="AO132" t="str">
        <f t="shared" si="86"/>
        <v xml:space="preserve"> 20.0% </v>
      </c>
      <c r="AP132" t="s">
        <v>282</v>
      </c>
      <c r="AQ132" t="str">
        <f t="shared" si="87"/>
        <v xml:space="preserve"> Designing / creating controls </v>
      </c>
      <c r="AR132" t="str">
        <f t="shared" si="88"/>
        <v xml:space="preserve"> 26.0% </v>
      </c>
      <c r="AS132" t="s">
        <v>748</v>
      </c>
      <c r="AT132" t="str">
        <f t="shared" si="89"/>
        <v xml:space="preserve"> Designing / creating controls </v>
      </c>
      <c r="AU132" t="str">
        <f t="shared" si="90"/>
        <v xml:space="preserve"> 45.0% </v>
      </c>
      <c r="AV132" t="s">
        <v>1192</v>
      </c>
      <c r="AW132" t="str">
        <f t="shared" si="91"/>
        <v>Designing / creating controls</v>
      </c>
      <c r="AX132" t="str">
        <f t="shared" si="92"/>
        <v xml:space="preserve"> 40.0% </v>
      </c>
    </row>
    <row r="133" spans="1:50" x14ac:dyDescent="0.45">
      <c r="A133" t="s">
        <v>114</v>
      </c>
      <c r="B133" t="str">
        <f t="shared" si="62"/>
        <v xml:space="preserve"> Operating / executing controls </v>
      </c>
      <c r="C133" t="str">
        <f t="shared" si="63"/>
        <v xml:space="preserve"> 55.0% </v>
      </c>
      <c r="D133" t="s">
        <v>278</v>
      </c>
      <c r="E133" t="str">
        <f t="shared" si="64"/>
        <v xml:space="preserve"> Operating / executing controls </v>
      </c>
      <c r="F133" t="str">
        <f t="shared" si="65"/>
        <v xml:space="preserve"> 48.0% </v>
      </c>
      <c r="G133" t="s">
        <v>391</v>
      </c>
      <c r="H133" t="str">
        <f t="shared" si="66"/>
        <v xml:space="preserve"> Operating / executing controls </v>
      </c>
      <c r="I133" t="str">
        <f t="shared" si="67"/>
        <v xml:space="preserve"> 45.0% </v>
      </c>
      <c r="J133" t="s">
        <v>385</v>
      </c>
      <c r="K133" t="str">
        <f t="shared" si="68"/>
        <v xml:space="preserve"> Operating / executing controls </v>
      </c>
      <c r="L133" t="str">
        <f t="shared" si="69"/>
        <v xml:space="preserve"> 50.0% </v>
      </c>
      <c r="M133" t="s">
        <v>489</v>
      </c>
      <c r="N133" t="str">
        <f t="shared" si="70"/>
        <v xml:space="preserve"> Operating / executing controls </v>
      </c>
      <c r="O133" t="str">
        <f t="shared" si="71"/>
        <v xml:space="preserve"> 41.0% </v>
      </c>
      <c r="P133" t="s">
        <v>391</v>
      </c>
      <c r="Q133" t="str">
        <f t="shared" si="72"/>
        <v xml:space="preserve"> Operating / executing controls </v>
      </c>
      <c r="R133" t="str">
        <f t="shared" si="73"/>
        <v xml:space="preserve"> 45.0% </v>
      </c>
      <c r="S133" t="s">
        <v>391</v>
      </c>
      <c r="T133" t="str">
        <f t="shared" si="74"/>
        <v xml:space="preserve"> Operating / executing controls </v>
      </c>
      <c r="U133" t="str">
        <f t="shared" si="75"/>
        <v xml:space="preserve"> 45.0% </v>
      </c>
      <c r="V133" t="s">
        <v>749</v>
      </c>
      <c r="W133" t="str">
        <f t="shared" si="76"/>
        <v xml:space="preserve"> Operating / executing controls </v>
      </c>
      <c r="X133" t="str">
        <f t="shared" si="77"/>
        <v xml:space="preserve"> 60.0% </v>
      </c>
      <c r="Y133" t="s">
        <v>579</v>
      </c>
      <c r="Z133" t="str">
        <f t="shared" si="78"/>
        <v xml:space="preserve"> Operating / executing controls </v>
      </c>
      <c r="AA133" t="str">
        <f t="shared" si="79"/>
        <v xml:space="preserve"> 35.0% </v>
      </c>
      <c r="AB133" t="s">
        <v>124</v>
      </c>
      <c r="AC133" t="str">
        <f t="shared" si="80"/>
        <v xml:space="preserve"> Operating / executing controls </v>
      </c>
      <c r="AD133" t="str">
        <f t="shared" si="81"/>
        <v xml:space="preserve"> 40.0% </v>
      </c>
      <c r="AF133" t="s">
        <v>700</v>
      </c>
      <c r="AG133" t="str">
        <f t="shared" si="82"/>
        <v xml:space="preserve"> Operating / executing controls </v>
      </c>
      <c r="AH133" t="str">
        <f t="shared" si="83"/>
        <v xml:space="preserve"> 58.0% </v>
      </c>
      <c r="AI133" t="s">
        <v>114</v>
      </c>
      <c r="AK133" t="str">
        <f t="shared" si="84"/>
        <v xml:space="preserve"> Operating / executing controls </v>
      </c>
      <c r="AL133" t="str">
        <f t="shared" si="85"/>
        <v xml:space="preserve"> 55.0% </v>
      </c>
      <c r="AM133" t="s">
        <v>749</v>
      </c>
      <c r="AN133" t="s">
        <v>0</v>
      </c>
      <c r="AO133" t="str">
        <f t="shared" si="86"/>
        <v xml:space="preserve"> 60.0% </v>
      </c>
      <c r="AP133" t="s">
        <v>1011</v>
      </c>
      <c r="AQ133" t="str">
        <f t="shared" si="87"/>
        <v xml:space="preserve"> Operating / executing controls </v>
      </c>
      <c r="AR133" t="str">
        <f t="shared" si="88"/>
        <v xml:space="preserve"> 38.0% </v>
      </c>
      <c r="AS133" t="s">
        <v>749</v>
      </c>
      <c r="AT133" t="str">
        <f t="shared" si="89"/>
        <v xml:space="preserve"> Operating / executing controls </v>
      </c>
      <c r="AU133" t="str">
        <f t="shared" si="90"/>
        <v xml:space="preserve"> 60.0% </v>
      </c>
      <c r="AV133" t="s">
        <v>1193</v>
      </c>
      <c r="AW133" t="str">
        <f t="shared" si="91"/>
        <v>Operating / executing controls</v>
      </c>
      <c r="AX133" t="str">
        <f t="shared" si="92"/>
        <v xml:space="preserve"> 60.0% </v>
      </c>
    </row>
    <row r="134" spans="1:50" x14ac:dyDescent="0.45">
      <c r="A134" t="s">
        <v>115</v>
      </c>
      <c r="B134" t="str">
        <f t="shared" si="62"/>
        <v xml:space="preserve"> Monitoring control performance </v>
      </c>
      <c r="C134" t="str">
        <f t="shared" si="63"/>
        <v xml:space="preserve"> 45.0% </v>
      </c>
      <c r="D134" t="s">
        <v>279</v>
      </c>
      <c r="E134" t="str">
        <f t="shared" si="64"/>
        <v xml:space="preserve"> Monitoring control performance </v>
      </c>
      <c r="F134" t="str">
        <f t="shared" si="65"/>
        <v xml:space="preserve"> 58.0% </v>
      </c>
      <c r="G134" t="s">
        <v>120</v>
      </c>
      <c r="H134" t="str">
        <f t="shared" si="66"/>
        <v xml:space="preserve"> Monitoring control performance </v>
      </c>
      <c r="I134" t="str">
        <f t="shared" si="67"/>
        <v xml:space="preserve"> 50.0% </v>
      </c>
      <c r="J134" t="s">
        <v>115</v>
      </c>
      <c r="K134" t="str">
        <f t="shared" si="68"/>
        <v xml:space="preserve"> Monitoring control performance </v>
      </c>
      <c r="L134" t="str">
        <f t="shared" si="69"/>
        <v xml:space="preserve"> 45.0% </v>
      </c>
      <c r="M134" t="s">
        <v>490</v>
      </c>
      <c r="N134" t="str">
        <f t="shared" si="70"/>
        <v xml:space="preserve"> Monitoring control performance </v>
      </c>
      <c r="O134" t="str">
        <f t="shared" si="71"/>
        <v xml:space="preserve"> 44.0% </v>
      </c>
      <c r="P134" t="s">
        <v>637</v>
      </c>
      <c r="Q134" t="str">
        <f t="shared" si="72"/>
        <v xml:space="preserve"> Monitoring control performance </v>
      </c>
      <c r="R134" t="str">
        <f t="shared" si="73"/>
        <v xml:space="preserve"> 60.0% </v>
      </c>
      <c r="S134" t="s">
        <v>279</v>
      </c>
      <c r="T134" t="str">
        <f t="shared" si="74"/>
        <v xml:space="preserve"> Monitoring control performance </v>
      </c>
      <c r="U134" t="str">
        <f t="shared" si="75"/>
        <v xml:space="preserve"> 58.0% </v>
      </c>
      <c r="V134" t="s">
        <v>750</v>
      </c>
      <c r="W134" t="str">
        <f t="shared" si="76"/>
        <v xml:space="preserve"> Monitoring control performance </v>
      </c>
      <c r="X134" t="str">
        <f t="shared" si="77"/>
        <v xml:space="preserve"> 70.0% </v>
      </c>
      <c r="Y134" t="s">
        <v>120</v>
      </c>
      <c r="Z134" t="str">
        <f t="shared" si="78"/>
        <v xml:space="preserve"> Monitoring control performance </v>
      </c>
      <c r="AA134" t="str">
        <f t="shared" si="79"/>
        <v xml:space="preserve"> 50.0% </v>
      </c>
      <c r="AB134" t="s">
        <v>120</v>
      </c>
      <c r="AC134" t="str">
        <f t="shared" si="80"/>
        <v xml:space="preserve"> Monitoring control performance </v>
      </c>
      <c r="AD134" t="str">
        <f t="shared" si="81"/>
        <v xml:space="preserve"> 50.0% </v>
      </c>
      <c r="AF134" t="s">
        <v>886</v>
      </c>
      <c r="AG134" t="str">
        <f t="shared" si="82"/>
        <v xml:space="preserve"> Monitoring control performance </v>
      </c>
      <c r="AH134" t="str">
        <f t="shared" si="83"/>
        <v xml:space="preserve"> 64.0% </v>
      </c>
      <c r="AI134" t="s">
        <v>388</v>
      </c>
      <c r="AK134" t="str">
        <f t="shared" si="84"/>
        <v xml:space="preserve"> Monitoring control performance </v>
      </c>
      <c r="AL134" t="str">
        <f t="shared" si="85"/>
        <v xml:space="preserve"> 40.0% </v>
      </c>
      <c r="AM134" t="s">
        <v>750</v>
      </c>
      <c r="AN134" t="s">
        <v>0</v>
      </c>
      <c r="AO134" t="str">
        <f t="shared" si="86"/>
        <v xml:space="preserve"> 70.0% </v>
      </c>
      <c r="AP134" t="s">
        <v>895</v>
      </c>
      <c r="AQ134" t="str">
        <f t="shared" si="87"/>
        <v xml:space="preserve"> Monitoring control performance </v>
      </c>
      <c r="AR134" t="str">
        <f t="shared" si="88"/>
        <v xml:space="preserve"> 42.0% </v>
      </c>
      <c r="AS134" t="s">
        <v>750</v>
      </c>
      <c r="AT134" t="str">
        <f t="shared" si="89"/>
        <v xml:space="preserve"> Monitoring control performance </v>
      </c>
      <c r="AU134" t="str">
        <f t="shared" si="90"/>
        <v xml:space="preserve"> 70.0% </v>
      </c>
      <c r="AV134" t="s">
        <v>1194</v>
      </c>
      <c r="AW134" t="str">
        <f t="shared" si="91"/>
        <v>Monitoring control performance</v>
      </c>
      <c r="AX134" t="str">
        <f t="shared" si="92"/>
        <v xml:space="preserve"> 55.0% </v>
      </c>
    </row>
    <row r="135" spans="1:50" x14ac:dyDescent="0.45">
      <c r="A135" t="s">
        <v>116</v>
      </c>
      <c r="B135" t="str">
        <f t="shared" si="62"/>
        <v xml:space="preserve"> Exception prioritization </v>
      </c>
      <c r="C135" t="str">
        <f t="shared" si="63"/>
        <v xml:space="preserve"> 75.0% </v>
      </c>
      <c r="D135" t="s">
        <v>280</v>
      </c>
      <c r="E135" t="str">
        <f t="shared" si="64"/>
        <v xml:space="preserve"> Exception prioritization </v>
      </c>
      <c r="F135" t="str">
        <f t="shared" si="65"/>
        <v xml:space="preserve"> 54.0% </v>
      </c>
      <c r="G135" t="s">
        <v>576</v>
      </c>
      <c r="H135" t="str">
        <f t="shared" si="66"/>
        <v xml:space="preserve"> Exception prioritization </v>
      </c>
      <c r="I135" t="str">
        <f t="shared" si="67"/>
        <v xml:space="preserve"> 55.0% </v>
      </c>
      <c r="J135" t="s">
        <v>285</v>
      </c>
      <c r="K135" t="str">
        <f t="shared" si="68"/>
        <v xml:space="preserve"> Exception prioritization </v>
      </c>
      <c r="L135" t="str">
        <f t="shared" si="69"/>
        <v xml:space="preserve"> 60.0% </v>
      </c>
      <c r="M135" t="s">
        <v>491</v>
      </c>
      <c r="N135" t="str">
        <f t="shared" si="70"/>
        <v xml:space="preserve"> Exception prioritization </v>
      </c>
      <c r="O135" t="str">
        <f t="shared" si="71"/>
        <v xml:space="preserve"> 58.0% </v>
      </c>
      <c r="P135" t="s">
        <v>576</v>
      </c>
      <c r="Q135" t="str">
        <f t="shared" si="72"/>
        <v xml:space="preserve"> Exception prioritization </v>
      </c>
      <c r="R135" t="str">
        <f t="shared" si="73"/>
        <v xml:space="preserve"> 55.0% </v>
      </c>
      <c r="S135" t="s">
        <v>639</v>
      </c>
      <c r="T135" t="str">
        <f t="shared" si="74"/>
        <v xml:space="preserve"> Exception prioritization </v>
      </c>
      <c r="U135" t="str">
        <f t="shared" si="75"/>
        <v xml:space="preserve"> 65.0% </v>
      </c>
      <c r="V135" t="s">
        <v>751</v>
      </c>
      <c r="W135" t="str">
        <f t="shared" si="76"/>
        <v xml:space="preserve"> Exception prioritization </v>
      </c>
      <c r="X135" t="str">
        <f t="shared" si="77"/>
        <v xml:space="preserve"> 80.0% </v>
      </c>
      <c r="Y135" t="s">
        <v>285</v>
      </c>
      <c r="Z135" t="str">
        <f t="shared" si="78"/>
        <v xml:space="preserve"> Exception prioritization </v>
      </c>
      <c r="AA135" t="str">
        <f t="shared" si="79"/>
        <v xml:space="preserve"> 60.0% </v>
      </c>
      <c r="AB135" t="s">
        <v>639</v>
      </c>
      <c r="AC135" t="str">
        <f t="shared" si="80"/>
        <v xml:space="preserve"> Exception prioritization </v>
      </c>
      <c r="AD135" t="str">
        <f t="shared" si="81"/>
        <v xml:space="preserve"> 65.0% </v>
      </c>
      <c r="AF135" t="s">
        <v>887</v>
      </c>
      <c r="AG135" t="str">
        <f t="shared" si="82"/>
        <v xml:space="preserve"> Exception prioritization </v>
      </c>
      <c r="AH135" t="str">
        <f t="shared" si="83"/>
        <v xml:space="preserve"> 72.0% </v>
      </c>
      <c r="AI135" t="s">
        <v>639</v>
      </c>
      <c r="AK135" t="str">
        <f t="shared" si="84"/>
        <v xml:space="preserve"> Exception prioritization </v>
      </c>
      <c r="AL135" t="str">
        <f t="shared" si="85"/>
        <v xml:space="preserve"> 65.0% </v>
      </c>
      <c r="AM135" t="s">
        <v>576</v>
      </c>
      <c r="AN135" t="s">
        <v>0</v>
      </c>
      <c r="AO135" t="str">
        <f t="shared" si="86"/>
        <v xml:space="preserve"> 55.0% </v>
      </c>
      <c r="AP135" t="s">
        <v>1012</v>
      </c>
      <c r="AQ135" t="str">
        <f t="shared" si="87"/>
        <v xml:space="preserve"> Exception prioritization </v>
      </c>
      <c r="AR135" t="str">
        <f t="shared" si="88"/>
        <v xml:space="preserve"> 56.0% </v>
      </c>
      <c r="AS135" t="s">
        <v>1065</v>
      </c>
      <c r="AT135" t="str">
        <f t="shared" si="89"/>
        <v xml:space="preserve"> Exception prioritization </v>
      </c>
      <c r="AU135" t="str">
        <f t="shared" si="90"/>
        <v xml:space="preserve"> 66.0% </v>
      </c>
      <c r="AV135" t="s">
        <v>1195</v>
      </c>
      <c r="AW135" t="str">
        <f t="shared" si="91"/>
        <v>Exception prioritization</v>
      </c>
      <c r="AX135" t="str">
        <f t="shared" si="92"/>
        <v xml:space="preserve"> 50.0% </v>
      </c>
    </row>
    <row r="136" spans="1:50" x14ac:dyDescent="0.45">
      <c r="A136" t="s">
        <v>117</v>
      </c>
      <c r="B136" t="str">
        <f t="shared" si="62"/>
        <v xml:space="preserve"> Risk estimation &amp; impact assessment </v>
      </c>
      <c r="C136" t="str">
        <f t="shared" si="63"/>
        <v xml:space="preserve"> 40.0% </v>
      </c>
      <c r="D136" t="s">
        <v>281</v>
      </c>
      <c r="E136" t="str">
        <f t="shared" si="64"/>
        <v xml:space="preserve"> Risk estimation &amp; impact assessment </v>
      </c>
      <c r="F136" t="str">
        <f t="shared" si="65"/>
        <v xml:space="preserve"> 42.0% </v>
      </c>
      <c r="G136" t="s">
        <v>117</v>
      </c>
      <c r="H136" t="str">
        <f t="shared" si="66"/>
        <v xml:space="preserve"> Risk estimation &amp; impact assessment </v>
      </c>
      <c r="I136" t="str">
        <f t="shared" si="67"/>
        <v xml:space="preserve"> 40.0% </v>
      </c>
      <c r="J136" t="s">
        <v>386</v>
      </c>
      <c r="K136" t="str">
        <f t="shared" si="68"/>
        <v xml:space="preserve"> Risk estimation &amp; impact assessment </v>
      </c>
      <c r="L136" t="str">
        <f t="shared" si="69"/>
        <v xml:space="preserve"> 55.0% </v>
      </c>
      <c r="M136" t="s">
        <v>492</v>
      </c>
      <c r="N136" t="str">
        <f t="shared" si="70"/>
        <v xml:space="preserve"> Risk estimation &amp; impact assessment </v>
      </c>
      <c r="O136" t="str">
        <f t="shared" si="71"/>
        <v xml:space="preserve"> 39.0% </v>
      </c>
      <c r="P136" t="s">
        <v>638</v>
      </c>
      <c r="Q136" t="str">
        <f t="shared" si="72"/>
        <v xml:space="preserve"> Risk estimation &amp; impact assessment </v>
      </c>
      <c r="R136" t="str">
        <f t="shared" si="73"/>
        <v xml:space="preserve"> 50.0% </v>
      </c>
      <c r="S136" t="s">
        <v>117</v>
      </c>
      <c r="T136" t="str">
        <f t="shared" si="74"/>
        <v xml:space="preserve"> Risk estimation &amp; impact assessment </v>
      </c>
      <c r="U136" t="str">
        <f t="shared" si="75"/>
        <v xml:space="preserve"> 40.0% </v>
      </c>
      <c r="V136" t="s">
        <v>752</v>
      </c>
      <c r="W136" t="str">
        <f t="shared" si="76"/>
        <v xml:space="preserve"> Risk estimation &amp; impact assessment </v>
      </c>
      <c r="X136" t="str">
        <f t="shared" si="77"/>
        <v xml:space="preserve"> 75.0% </v>
      </c>
      <c r="Y136" t="s">
        <v>389</v>
      </c>
      <c r="Z136" t="str">
        <f t="shared" si="78"/>
        <v xml:space="preserve"> Risk estimation &amp; impact assessment </v>
      </c>
      <c r="AA136" t="str">
        <f t="shared" si="79"/>
        <v xml:space="preserve"> 45.0% </v>
      </c>
      <c r="AB136" t="s">
        <v>122</v>
      </c>
      <c r="AC136" t="str">
        <f t="shared" si="80"/>
        <v xml:space="preserve"> Risk estimation &amp; impact assessment </v>
      </c>
      <c r="AD136" t="str">
        <f t="shared" si="81"/>
        <v xml:space="preserve"> 60.0% </v>
      </c>
      <c r="AF136" t="s">
        <v>702</v>
      </c>
      <c r="AG136" t="str">
        <f t="shared" si="82"/>
        <v xml:space="preserve"> Risk estimation &amp; impact assessment </v>
      </c>
      <c r="AH136" t="str">
        <f t="shared" si="83"/>
        <v xml:space="preserve"> 52.0% </v>
      </c>
      <c r="AI136" t="s">
        <v>389</v>
      </c>
      <c r="AK136" t="str">
        <f t="shared" si="84"/>
        <v xml:space="preserve"> Risk estimation &amp; impact assessment </v>
      </c>
      <c r="AL136" t="str">
        <f t="shared" si="85"/>
        <v xml:space="preserve"> 45.0% </v>
      </c>
      <c r="AM136" t="s">
        <v>389</v>
      </c>
      <c r="AN136" t="s">
        <v>0</v>
      </c>
      <c r="AO136" t="str">
        <f t="shared" si="86"/>
        <v xml:space="preserve"> 45.0% </v>
      </c>
      <c r="AP136" t="s">
        <v>1013</v>
      </c>
      <c r="AQ136" t="str">
        <f t="shared" si="87"/>
        <v xml:space="preserve"> Risk estimation &amp; impact assessment </v>
      </c>
      <c r="AR136" t="str">
        <f t="shared" si="88"/>
        <v xml:space="preserve"> 44.0% </v>
      </c>
      <c r="AS136" t="s">
        <v>702</v>
      </c>
      <c r="AT136" t="str">
        <f t="shared" si="89"/>
        <v xml:space="preserve"> Risk estimation &amp; impact assessment </v>
      </c>
      <c r="AU136" t="str">
        <f t="shared" si="90"/>
        <v xml:space="preserve"> 52.0% </v>
      </c>
      <c r="AV136" t="s">
        <v>1196</v>
      </c>
      <c r="AW136" t="str">
        <f t="shared" si="91"/>
        <v>Risk estimation &amp; impact assessment</v>
      </c>
      <c r="AX136" t="str">
        <f t="shared" si="92"/>
        <v xml:space="preserve"> 45.0% </v>
      </c>
    </row>
    <row r="137" spans="1:50" x14ac:dyDescent="0.45">
      <c r="A137" t="s">
        <v>65</v>
      </c>
      <c r="B137" t="str">
        <f t="shared" si="62"/>
        <v xml:space="preserve"> Other </v>
      </c>
      <c r="C137" t="str">
        <f t="shared" si="63"/>
        <v xml:space="preserve"> 2.0% </v>
      </c>
      <c r="D137" t="s">
        <v>76</v>
      </c>
      <c r="E137" t="str">
        <f t="shared" si="64"/>
        <v xml:space="preserve"> Other </v>
      </c>
      <c r="F137" t="str">
        <f t="shared" si="65"/>
        <v xml:space="preserve"> 5.0% </v>
      </c>
      <c r="G137" t="s">
        <v>233</v>
      </c>
      <c r="H137" t="str">
        <f t="shared" si="66"/>
        <v xml:space="preserve"> Other </v>
      </c>
      <c r="I137" t="str">
        <f t="shared" si="67"/>
        <v xml:space="preserve"> 6.0% </v>
      </c>
      <c r="J137" t="s">
        <v>76</v>
      </c>
      <c r="K137" t="str">
        <f t="shared" si="68"/>
        <v xml:space="preserve"> Other </v>
      </c>
      <c r="L137" t="str">
        <f t="shared" si="69"/>
        <v xml:space="preserve"> 5.0% </v>
      </c>
      <c r="M137" t="s">
        <v>297</v>
      </c>
      <c r="N137" t="str">
        <f t="shared" si="70"/>
        <v xml:space="preserve"> Other </v>
      </c>
      <c r="O137" t="str">
        <f t="shared" si="71"/>
        <v xml:space="preserve"> 4.0% </v>
      </c>
      <c r="P137" t="s">
        <v>76</v>
      </c>
      <c r="Q137" t="str">
        <f t="shared" si="72"/>
        <v xml:space="preserve"> Other </v>
      </c>
      <c r="R137" t="str">
        <f t="shared" si="73"/>
        <v xml:space="preserve"> 5.0% </v>
      </c>
      <c r="S137" t="s">
        <v>275</v>
      </c>
      <c r="T137" t="str">
        <f t="shared" si="74"/>
        <v xml:space="preserve"> Other </v>
      </c>
      <c r="U137" t="str">
        <f t="shared" si="75"/>
        <v xml:space="preserve"> 8.0% </v>
      </c>
      <c r="V137" t="s">
        <v>39</v>
      </c>
      <c r="W137" t="str">
        <f t="shared" si="76"/>
        <v xml:space="preserve"> Other </v>
      </c>
      <c r="X137" t="str">
        <f t="shared" si="77"/>
        <v xml:space="preserve"> 15.0% </v>
      </c>
      <c r="Y137" t="s">
        <v>96</v>
      </c>
      <c r="Z137" t="str">
        <f t="shared" si="78"/>
        <v xml:space="preserve"> Other </v>
      </c>
      <c r="AA137" t="str">
        <f t="shared" si="79"/>
        <v xml:space="preserve"> 10.0% </v>
      </c>
      <c r="AB137" t="s">
        <v>96</v>
      </c>
      <c r="AC137" t="str">
        <f t="shared" si="80"/>
        <v xml:space="preserve"> Other </v>
      </c>
      <c r="AD137" t="str">
        <f t="shared" si="81"/>
        <v xml:space="preserve"> 10.0% </v>
      </c>
      <c r="AF137" t="s">
        <v>297</v>
      </c>
      <c r="AG137" t="str">
        <f t="shared" si="82"/>
        <v xml:space="preserve"> Other </v>
      </c>
      <c r="AH137" t="str">
        <f t="shared" si="83"/>
        <v xml:space="preserve"> 4.0% </v>
      </c>
      <c r="AI137" t="s">
        <v>65</v>
      </c>
      <c r="AK137" t="str">
        <f t="shared" si="84"/>
        <v xml:space="preserve"> Other </v>
      </c>
      <c r="AL137" t="str">
        <f t="shared" si="85"/>
        <v xml:space="preserve"> 2.0% </v>
      </c>
      <c r="AM137" t="s">
        <v>65</v>
      </c>
      <c r="AN137" t="s">
        <v>0</v>
      </c>
      <c r="AO137" t="str">
        <f t="shared" si="86"/>
        <v xml:space="preserve"> 2.0% </v>
      </c>
      <c r="AP137" t="s">
        <v>275</v>
      </c>
      <c r="AQ137" t="str">
        <f t="shared" si="87"/>
        <v xml:space="preserve"> Other </v>
      </c>
      <c r="AR137" t="str">
        <f t="shared" si="88"/>
        <v xml:space="preserve"> 8.0% </v>
      </c>
      <c r="AS137" t="s">
        <v>76</v>
      </c>
      <c r="AT137" t="str">
        <f t="shared" si="89"/>
        <v xml:space="preserve"> Other </v>
      </c>
      <c r="AU137" t="str">
        <f t="shared" si="90"/>
        <v xml:space="preserve"> 5.0% </v>
      </c>
      <c r="AV137" t="s">
        <v>1116</v>
      </c>
      <c r="AW137" t="str">
        <f t="shared" si="91"/>
        <v>Other</v>
      </c>
      <c r="AX137" t="str">
        <f t="shared" si="92"/>
        <v xml:space="preserve"> 15.0% </v>
      </c>
    </row>
    <row r="138" spans="1:50" x14ac:dyDescent="0.45">
      <c r="A138" t="s">
        <v>47</v>
      </c>
      <c r="B138" t="str">
        <f t="shared" si="62"/>
        <v/>
      </c>
      <c r="C138" t="str">
        <f t="shared" si="63"/>
        <v/>
      </c>
      <c r="D138" t="s">
        <v>216</v>
      </c>
      <c r="E138" t="str">
        <f t="shared" si="64"/>
        <v/>
      </c>
      <c r="F138" t="str">
        <f t="shared" si="65"/>
        <v/>
      </c>
      <c r="G138" t="s">
        <v>47</v>
      </c>
      <c r="H138" t="str">
        <f t="shared" si="66"/>
        <v/>
      </c>
      <c r="I138" t="str">
        <f t="shared" si="67"/>
        <v/>
      </c>
      <c r="J138" t="s">
        <v>47</v>
      </c>
      <c r="K138" t="str">
        <f t="shared" si="68"/>
        <v/>
      </c>
      <c r="L138" t="str">
        <f t="shared" si="69"/>
        <v/>
      </c>
      <c r="M138" t="s">
        <v>47</v>
      </c>
      <c r="N138" t="str">
        <f t="shared" si="70"/>
        <v/>
      </c>
      <c r="O138" t="str">
        <f t="shared" si="71"/>
        <v/>
      </c>
      <c r="P138" t="s">
        <v>47</v>
      </c>
      <c r="Q138" t="str">
        <f t="shared" si="72"/>
        <v/>
      </c>
      <c r="R138" t="str">
        <f t="shared" si="73"/>
        <v/>
      </c>
      <c r="S138" t="s">
        <v>47</v>
      </c>
      <c r="T138" t="str">
        <f t="shared" si="74"/>
        <v/>
      </c>
      <c r="U138" t="str">
        <f t="shared" si="75"/>
        <v/>
      </c>
      <c r="V138" t="s">
        <v>47</v>
      </c>
      <c r="W138" t="str">
        <f t="shared" si="76"/>
        <v/>
      </c>
      <c r="X138" t="str">
        <f t="shared" si="77"/>
        <v/>
      </c>
      <c r="Y138" t="s">
        <v>47</v>
      </c>
      <c r="Z138" t="str">
        <f t="shared" si="78"/>
        <v/>
      </c>
      <c r="AA138" t="str">
        <f t="shared" si="79"/>
        <v/>
      </c>
      <c r="AB138" t="s">
        <v>47</v>
      </c>
      <c r="AC138" t="str">
        <f t="shared" si="80"/>
        <v/>
      </c>
      <c r="AD138" t="str">
        <f t="shared" si="81"/>
        <v/>
      </c>
      <c r="AF138" t="s">
        <v>47</v>
      </c>
      <c r="AG138" t="str">
        <f t="shared" si="82"/>
        <v/>
      </c>
      <c r="AH138" t="str">
        <f t="shared" si="83"/>
        <v/>
      </c>
      <c r="AI138" t="s">
        <v>47</v>
      </c>
      <c r="AK138" t="str">
        <f t="shared" si="84"/>
        <v/>
      </c>
      <c r="AL138" t="str">
        <f t="shared" si="85"/>
        <v/>
      </c>
      <c r="AM138" t="s">
        <v>47</v>
      </c>
      <c r="AN138" t="s">
        <v>0</v>
      </c>
      <c r="AO138" t="str">
        <f t="shared" si="86"/>
        <v/>
      </c>
      <c r="AP138" t="s">
        <v>47</v>
      </c>
      <c r="AQ138" t="str">
        <f t="shared" si="87"/>
        <v/>
      </c>
      <c r="AR138" t="str">
        <f t="shared" si="88"/>
        <v/>
      </c>
      <c r="AS138" t="s">
        <v>47</v>
      </c>
      <c r="AT138" t="str">
        <f t="shared" si="89"/>
        <v/>
      </c>
      <c r="AU138" t="str">
        <f t="shared" si="90"/>
        <v/>
      </c>
      <c r="AV138" t="s">
        <v>1124</v>
      </c>
      <c r="AW138" t="str">
        <f t="shared" si="91"/>
        <v/>
      </c>
      <c r="AX138" t="str">
        <f t="shared" si="92"/>
        <v/>
      </c>
    </row>
    <row r="139" spans="1:50" x14ac:dyDescent="0.45">
      <c r="A139" t="s">
        <v>118</v>
      </c>
      <c r="B139" t="str">
        <f t="shared" si="62"/>
        <v xml:space="preserve"> Designing / creating controls </v>
      </c>
      <c r="C139" t="str">
        <f t="shared" si="63"/>
        <v xml:space="preserve"> 25.0% </v>
      </c>
      <c r="D139" t="s">
        <v>282</v>
      </c>
      <c r="E139" t="str">
        <f t="shared" si="64"/>
        <v xml:space="preserve"> Designing / creating controls </v>
      </c>
      <c r="F139" t="str">
        <f t="shared" si="65"/>
        <v xml:space="preserve"> 26.0% </v>
      </c>
      <c r="G139" t="s">
        <v>113</v>
      </c>
      <c r="H139" t="str">
        <f t="shared" si="66"/>
        <v xml:space="preserve"> Designing / creating controls </v>
      </c>
      <c r="I139" t="str">
        <f t="shared" si="67"/>
        <v xml:space="preserve"> 20.0% </v>
      </c>
      <c r="J139" t="s">
        <v>387</v>
      </c>
      <c r="K139" t="str">
        <f t="shared" si="68"/>
        <v xml:space="preserve"> Designing / creating controls </v>
      </c>
      <c r="L139" t="str">
        <f t="shared" si="69"/>
        <v xml:space="preserve"> 35.0% </v>
      </c>
      <c r="M139" t="s">
        <v>493</v>
      </c>
      <c r="N139" t="str">
        <f t="shared" si="70"/>
        <v xml:space="preserve"> Designing / creating controls </v>
      </c>
      <c r="O139" t="str">
        <f t="shared" si="71"/>
        <v xml:space="preserve"> 31.0% </v>
      </c>
      <c r="P139" t="s">
        <v>113</v>
      </c>
      <c r="Q139" t="str">
        <f t="shared" si="72"/>
        <v xml:space="preserve"> Designing / creating controls </v>
      </c>
      <c r="R139" t="str">
        <f t="shared" si="73"/>
        <v xml:space="preserve"> 20.0% </v>
      </c>
      <c r="S139" t="s">
        <v>387</v>
      </c>
      <c r="T139" t="str">
        <f t="shared" si="74"/>
        <v xml:space="preserve"> Designing / creating controls </v>
      </c>
      <c r="U139" t="str">
        <f t="shared" si="75"/>
        <v xml:space="preserve"> 35.0% </v>
      </c>
      <c r="V139" t="s">
        <v>753</v>
      </c>
      <c r="W139" t="str">
        <f t="shared" si="76"/>
        <v xml:space="preserve"> Designing / creating controls </v>
      </c>
      <c r="X139" t="str">
        <f t="shared" si="77"/>
        <v xml:space="preserve"> 50.0% </v>
      </c>
      <c r="Y139" t="s">
        <v>118</v>
      </c>
      <c r="Z139" t="str">
        <f t="shared" si="78"/>
        <v xml:space="preserve"> Designing / creating controls </v>
      </c>
      <c r="AA139" t="str">
        <f t="shared" si="79"/>
        <v xml:space="preserve"> 25.0% </v>
      </c>
      <c r="AB139" t="s">
        <v>123</v>
      </c>
      <c r="AC139" t="str">
        <f t="shared" si="80"/>
        <v xml:space="preserve"> Designing / creating controls </v>
      </c>
      <c r="AD139" t="str">
        <f t="shared" si="81"/>
        <v xml:space="preserve"> 30.0% </v>
      </c>
      <c r="AF139" t="s">
        <v>888</v>
      </c>
      <c r="AG139" t="str">
        <f t="shared" si="82"/>
        <v xml:space="preserve"> Designing / creating controls </v>
      </c>
      <c r="AH139" t="str">
        <f t="shared" si="83"/>
        <v xml:space="preserve"> 32.0% </v>
      </c>
      <c r="AI139" t="s">
        <v>118</v>
      </c>
      <c r="AK139" t="str">
        <f t="shared" si="84"/>
        <v xml:space="preserve"> Designing / creating controls </v>
      </c>
      <c r="AL139" t="str">
        <f t="shared" si="85"/>
        <v xml:space="preserve"> 25.0% </v>
      </c>
      <c r="AM139" t="s">
        <v>387</v>
      </c>
      <c r="AN139" t="s">
        <v>0</v>
      </c>
      <c r="AO139" t="str">
        <f t="shared" si="86"/>
        <v xml:space="preserve"> 35.0% </v>
      </c>
      <c r="AP139" t="s">
        <v>287</v>
      </c>
      <c r="AQ139" t="str">
        <f t="shared" si="87"/>
        <v xml:space="preserve"> Designing / creating controls </v>
      </c>
      <c r="AR139" t="str">
        <f t="shared" si="88"/>
        <v xml:space="preserve"> 24.0% </v>
      </c>
      <c r="AS139" t="s">
        <v>390</v>
      </c>
      <c r="AT139" t="str">
        <f t="shared" si="89"/>
        <v xml:space="preserve"> Designing / creating controls </v>
      </c>
      <c r="AU139" t="str">
        <f t="shared" si="90"/>
        <v xml:space="preserve"> 40.0% </v>
      </c>
      <c r="AV139" t="s">
        <v>1197</v>
      </c>
      <c r="AW139" t="str">
        <f t="shared" si="91"/>
        <v>Designing / creating controls</v>
      </c>
      <c r="AX139" t="str">
        <f t="shared" si="92"/>
        <v xml:space="preserve"> 30.0% </v>
      </c>
    </row>
    <row r="140" spans="1:50" x14ac:dyDescent="0.45">
      <c r="A140" t="s">
        <v>119</v>
      </c>
      <c r="B140" t="str">
        <f t="shared" si="62"/>
        <v xml:space="preserve"> Operating / executing controls </v>
      </c>
      <c r="C140" t="str">
        <f t="shared" si="63"/>
        <v xml:space="preserve"> 70.0% </v>
      </c>
      <c r="D140" t="s">
        <v>283</v>
      </c>
      <c r="E140" t="str">
        <f t="shared" si="64"/>
        <v xml:space="preserve"> Operating / executing controls </v>
      </c>
      <c r="F140" t="str">
        <f t="shared" si="65"/>
        <v xml:space="preserve"> 54.0% </v>
      </c>
      <c r="G140" t="s">
        <v>114</v>
      </c>
      <c r="H140" t="str">
        <f t="shared" si="66"/>
        <v xml:space="preserve"> Operating / executing controls </v>
      </c>
      <c r="I140" t="str">
        <f t="shared" si="67"/>
        <v xml:space="preserve"> 55.0% </v>
      </c>
      <c r="J140" t="s">
        <v>114</v>
      </c>
      <c r="K140" t="str">
        <f t="shared" si="68"/>
        <v xml:space="preserve"> Operating / executing controls </v>
      </c>
      <c r="L140" t="str">
        <f t="shared" si="69"/>
        <v xml:space="preserve"> 55.0% </v>
      </c>
      <c r="M140" t="s">
        <v>494</v>
      </c>
      <c r="N140" t="str">
        <f t="shared" si="70"/>
        <v xml:space="preserve"> Operating / executing controls </v>
      </c>
      <c r="O140" t="str">
        <f t="shared" si="71"/>
        <v xml:space="preserve"> 49.0% </v>
      </c>
      <c r="P140" t="s">
        <v>114</v>
      </c>
      <c r="Q140" t="str">
        <f t="shared" si="72"/>
        <v xml:space="preserve"> Operating / executing controls </v>
      </c>
      <c r="R140" t="str">
        <f t="shared" si="73"/>
        <v xml:space="preserve"> 55.0% </v>
      </c>
      <c r="S140" t="s">
        <v>700</v>
      </c>
      <c r="T140" t="str">
        <f t="shared" si="74"/>
        <v xml:space="preserve"> Operating / executing controls </v>
      </c>
      <c r="U140" t="str">
        <f t="shared" si="75"/>
        <v xml:space="preserve"> 58.0% </v>
      </c>
      <c r="V140" t="s">
        <v>754</v>
      </c>
      <c r="W140" t="str">
        <f t="shared" si="76"/>
        <v xml:space="preserve"> Operating / executing controls </v>
      </c>
      <c r="X140" t="str">
        <f t="shared" si="77"/>
        <v xml:space="preserve"> 65.0% </v>
      </c>
      <c r="Y140" t="s">
        <v>391</v>
      </c>
      <c r="Z140" t="str">
        <f t="shared" si="78"/>
        <v xml:space="preserve"> Operating / executing controls </v>
      </c>
      <c r="AA140" t="str">
        <f t="shared" si="79"/>
        <v xml:space="preserve"> 45.0% </v>
      </c>
      <c r="AB140" t="s">
        <v>114</v>
      </c>
      <c r="AC140" t="str">
        <f t="shared" si="80"/>
        <v xml:space="preserve"> Operating / executing controls </v>
      </c>
      <c r="AD140" t="str">
        <f t="shared" si="81"/>
        <v xml:space="preserve"> 55.0% </v>
      </c>
      <c r="AF140" t="s">
        <v>889</v>
      </c>
      <c r="AG140" t="str">
        <f t="shared" si="82"/>
        <v xml:space="preserve"> Operating / executing controls </v>
      </c>
      <c r="AH140" t="str">
        <f t="shared" si="83"/>
        <v xml:space="preserve"> 62.0% </v>
      </c>
      <c r="AI140" t="s">
        <v>119</v>
      </c>
      <c r="AK140" t="str">
        <f t="shared" si="84"/>
        <v xml:space="preserve"> Operating / executing controls </v>
      </c>
      <c r="AL140" t="str">
        <f t="shared" si="85"/>
        <v xml:space="preserve"> 70.0% </v>
      </c>
      <c r="AM140" t="s">
        <v>931</v>
      </c>
      <c r="AN140" t="s">
        <v>0</v>
      </c>
      <c r="AO140" t="str">
        <f t="shared" si="86"/>
        <v xml:space="preserve"> 75.0% </v>
      </c>
      <c r="AP140" t="s">
        <v>1014</v>
      </c>
      <c r="AQ140" t="str">
        <f t="shared" si="87"/>
        <v xml:space="preserve"> Operating / executing controls </v>
      </c>
      <c r="AR140" t="str">
        <f t="shared" si="88"/>
        <v xml:space="preserve"> 46.0% </v>
      </c>
      <c r="AS140" t="s">
        <v>700</v>
      </c>
      <c r="AT140" t="str">
        <f t="shared" si="89"/>
        <v xml:space="preserve"> Operating / executing controls </v>
      </c>
      <c r="AU140" t="str">
        <f t="shared" si="90"/>
        <v xml:space="preserve"> 58.0% </v>
      </c>
      <c r="AV140" t="s">
        <v>1198</v>
      </c>
      <c r="AW140" t="str">
        <f t="shared" si="91"/>
        <v>Operating / executing controls</v>
      </c>
      <c r="AX140" t="str">
        <f t="shared" si="92"/>
        <v xml:space="preserve"> 55.0% </v>
      </c>
    </row>
    <row r="141" spans="1:50" x14ac:dyDescent="0.45">
      <c r="A141" t="s">
        <v>120</v>
      </c>
      <c r="B141" t="str">
        <f t="shared" si="62"/>
        <v xml:space="preserve"> Monitoring control performance </v>
      </c>
      <c r="C141" t="str">
        <f t="shared" si="63"/>
        <v xml:space="preserve"> 50.0% </v>
      </c>
      <c r="D141" t="s">
        <v>284</v>
      </c>
      <c r="E141" t="str">
        <f t="shared" si="64"/>
        <v xml:space="preserve"> Monitoring control performance </v>
      </c>
      <c r="F141" t="str">
        <f t="shared" si="65"/>
        <v xml:space="preserve"> 56.0% </v>
      </c>
      <c r="G141" t="s">
        <v>115</v>
      </c>
      <c r="H141" t="str">
        <f t="shared" si="66"/>
        <v xml:space="preserve"> Monitoring control performance </v>
      </c>
      <c r="I141" t="str">
        <f t="shared" si="67"/>
        <v xml:space="preserve"> 45.0% </v>
      </c>
      <c r="J141" t="s">
        <v>388</v>
      </c>
      <c r="K141" t="str">
        <f t="shared" si="68"/>
        <v xml:space="preserve"> Monitoring control performance </v>
      </c>
      <c r="L141" t="str">
        <f t="shared" si="69"/>
        <v xml:space="preserve"> 40.0% </v>
      </c>
      <c r="M141" t="s">
        <v>288</v>
      </c>
      <c r="N141" t="str">
        <f t="shared" si="70"/>
        <v xml:space="preserve"> Monitoring control performance </v>
      </c>
      <c r="O141" t="str">
        <f t="shared" si="71"/>
        <v xml:space="preserve"> 46.0% </v>
      </c>
      <c r="P141" t="s">
        <v>125</v>
      </c>
      <c r="Q141" t="str">
        <f t="shared" si="72"/>
        <v xml:space="preserve"> Monitoring control performance </v>
      </c>
      <c r="R141" t="str">
        <f t="shared" si="73"/>
        <v xml:space="preserve"> 55.0% </v>
      </c>
      <c r="S141" t="s">
        <v>120</v>
      </c>
      <c r="T141" t="str">
        <f t="shared" si="74"/>
        <v xml:space="preserve"> Monitoring control performance </v>
      </c>
      <c r="U141" t="str">
        <f t="shared" si="75"/>
        <v xml:space="preserve"> 50.0% </v>
      </c>
      <c r="V141" t="s">
        <v>755</v>
      </c>
      <c r="W141" t="str">
        <f t="shared" si="76"/>
        <v xml:space="preserve"> Monitoring control performance </v>
      </c>
      <c r="X141" t="str">
        <f t="shared" si="77"/>
        <v xml:space="preserve"> 75.0% </v>
      </c>
      <c r="Y141" t="s">
        <v>125</v>
      </c>
      <c r="Z141" t="str">
        <f t="shared" si="78"/>
        <v xml:space="preserve"> Monitoring control performance </v>
      </c>
      <c r="AA141" t="str">
        <f t="shared" si="79"/>
        <v xml:space="preserve"> 55.0% </v>
      </c>
      <c r="AB141" t="s">
        <v>125</v>
      </c>
      <c r="AC141" t="str">
        <f t="shared" si="80"/>
        <v xml:space="preserve"> Monitoring control performance </v>
      </c>
      <c r="AD141" t="str">
        <f t="shared" si="81"/>
        <v xml:space="preserve"> 55.0% </v>
      </c>
      <c r="AF141" t="s">
        <v>890</v>
      </c>
      <c r="AG141" t="str">
        <f t="shared" si="82"/>
        <v xml:space="preserve"> Monitoring control performance </v>
      </c>
      <c r="AH141" t="str">
        <f t="shared" si="83"/>
        <v xml:space="preserve"> 68.0% </v>
      </c>
      <c r="AI141" t="s">
        <v>115</v>
      </c>
      <c r="AK141" t="str">
        <f t="shared" si="84"/>
        <v xml:space="preserve"> Monitoring control performance </v>
      </c>
      <c r="AL141" t="str">
        <f t="shared" si="85"/>
        <v xml:space="preserve"> 45.0% </v>
      </c>
      <c r="AM141" t="s">
        <v>932</v>
      </c>
      <c r="AN141" t="s">
        <v>0</v>
      </c>
      <c r="AO141" t="str">
        <f t="shared" si="86"/>
        <v xml:space="preserve"> 80.0% </v>
      </c>
      <c r="AP141" t="s">
        <v>388</v>
      </c>
      <c r="AQ141" t="str">
        <f t="shared" si="87"/>
        <v xml:space="preserve"> Monitoring control performance </v>
      </c>
      <c r="AR141" t="str">
        <f t="shared" si="88"/>
        <v xml:space="preserve"> 40.0% </v>
      </c>
      <c r="AS141" t="s">
        <v>890</v>
      </c>
      <c r="AT141" t="str">
        <f t="shared" si="89"/>
        <v xml:space="preserve"> Monitoring control performance </v>
      </c>
      <c r="AU141" t="str">
        <f t="shared" si="90"/>
        <v xml:space="preserve"> 68.0% </v>
      </c>
      <c r="AV141" t="s">
        <v>1199</v>
      </c>
      <c r="AW141" t="str">
        <f t="shared" si="91"/>
        <v>Monitoring control performance</v>
      </c>
      <c r="AX141" t="str">
        <f t="shared" si="92"/>
        <v xml:space="preserve"> 50.0% </v>
      </c>
    </row>
    <row r="142" spans="1:50" x14ac:dyDescent="0.45">
      <c r="A142" t="s">
        <v>121</v>
      </c>
      <c r="B142" t="str">
        <f t="shared" si="62"/>
        <v xml:space="preserve"> Exception prioritization </v>
      </c>
      <c r="C142" t="str">
        <f t="shared" si="63"/>
        <v xml:space="preserve"> 85.0% </v>
      </c>
      <c r="D142" t="s">
        <v>285</v>
      </c>
      <c r="E142" t="str">
        <f t="shared" si="64"/>
        <v xml:space="preserve"> Exception prioritization </v>
      </c>
      <c r="F142" t="str">
        <f t="shared" si="65"/>
        <v xml:space="preserve"> 60.0% </v>
      </c>
      <c r="G142" t="s">
        <v>126</v>
      </c>
      <c r="H142" t="str">
        <f t="shared" si="66"/>
        <v xml:space="preserve"> Exception prioritization </v>
      </c>
      <c r="I142" t="str">
        <f t="shared" si="67"/>
        <v xml:space="preserve"> 50.0% </v>
      </c>
      <c r="J142" t="s">
        <v>126</v>
      </c>
      <c r="K142" t="str">
        <f t="shared" si="68"/>
        <v xml:space="preserve"> Exception prioritization </v>
      </c>
      <c r="L142" t="str">
        <f t="shared" si="69"/>
        <v xml:space="preserve"> 50.0% </v>
      </c>
      <c r="M142" t="s">
        <v>495</v>
      </c>
      <c r="N142" t="str">
        <f t="shared" si="70"/>
        <v xml:space="preserve"> Exception prioritization </v>
      </c>
      <c r="O142" t="str">
        <f t="shared" si="71"/>
        <v xml:space="preserve"> 62.0% </v>
      </c>
      <c r="P142" t="s">
        <v>639</v>
      </c>
      <c r="Q142" t="str">
        <f t="shared" si="72"/>
        <v xml:space="preserve"> Exception prioritization </v>
      </c>
      <c r="R142" t="str">
        <f t="shared" si="73"/>
        <v xml:space="preserve"> 65.0% </v>
      </c>
      <c r="S142" t="s">
        <v>701</v>
      </c>
      <c r="T142" t="str">
        <f t="shared" si="74"/>
        <v xml:space="preserve"> Exception prioritization </v>
      </c>
      <c r="U142" t="str">
        <f t="shared" si="75"/>
        <v xml:space="preserve"> 70.0% </v>
      </c>
      <c r="V142" t="s">
        <v>121</v>
      </c>
      <c r="W142" t="str">
        <f t="shared" si="76"/>
        <v xml:space="preserve"> Exception prioritization </v>
      </c>
      <c r="X142" t="str">
        <f t="shared" si="77"/>
        <v xml:space="preserve"> 85.0% </v>
      </c>
      <c r="Y142" t="s">
        <v>701</v>
      </c>
      <c r="Z142" t="str">
        <f t="shared" si="78"/>
        <v xml:space="preserve"> Exception prioritization </v>
      </c>
      <c r="AA142" t="str">
        <f t="shared" si="79"/>
        <v xml:space="preserve"> 70.0% </v>
      </c>
      <c r="AB142" t="s">
        <v>701</v>
      </c>
      <c r="AC142" t="str">
        <f t="shared" si="80"/>
        <v xml:space="preserve"> Exception prioritization </v>
      </c>
      <c r="AD142" t="str">
        <f t="shared" si="81"/>
        <v xml:space="preserve"> 70.0% </v>
      </c>
      <c r="AF142" t="s">
        <v>891</v>
      </c>
      <c r="AG142" t="str">
        <f t="shared" si="82"/>
        <v xml:space="preserve"> Exception prioritization </v>
      </c>
      <c r="AH142" t="str">
        <f t="shared" si="83"/>
        <v xml:space="preserve"> 76.0% </v>
      </c>
      <c r="AI142" t="s">
        <v>116</v>
      </c>
      <c r="AK142" t="str">
        <f t="shared" si="84"/>
        <v xml:space="preserve"> Exception prioritization </v>
      </c>
      <c r="AL142" t="str">
        <f t="shared" si="85"/>
        <v xml:space="preserve"> 75.0% </v>
      </c>
      <c r="AM142" t="s">
        <v>639</v>
      </c>
      <c r="AN142" t="s">
        <v>0</v>
      </c>
      <c r="AO142" t="str">
        <f t="shared" si="86"/>
        <v xml:space="preserve"> 65.0% </v>
      </c>
      <c r="AP142" t="s">
        <v>285</v>
      </c>
      <c r="AQ142" t="str">
        <f t="shared" si="87"/>
        <v xml:space="preserve"> Exception prioritization </v>
      </c>
      <c r="AR142" t="str">
        <f t="shared" si="88"/>
        <v xml:space="preserve"> 60.0% </v>
      </c>
      <c r="AS142" t="s">
        <v>495</v>
      </c>
      <c r="AT142" t="str">
        <f t="shared" si="89"/>
        <v xml:space="preserve"> Exception prioritization </v>
      </c>
      <c r="AU142" t="str">
        <f t="shared" si="90"/>
        <v xml:space="preserve"> 62.0% </v>
      </c>
      <c r="AV142" t="s">
        <v>1200</v>
      </c>
      <c r="AW142" t="str">
        <f t="shared" si="91"/>
        <v>Exception prioritization</v>
      </c>
      <c r="AX142" t="str">
        <f t="shared" si="92"/>
        <v xml:space="preserve"> 40.0% </v>
      </c>
    </row>
    <row r="143" spans="1:50" x14ac:dyDescent="0.45">
      <c r="A143" t="s">
        <v>122</v>
      </c>
      <c r="B143" t="str">
        <f t="shared" si="62"/>
        <v xml:space="preserve"> Risk estimation &amp; impact assessment </v>
      </c>
      <c r="C143" t="str">
        <f t="shared" si="63"/>
        <v xml:space="preserve"> 60.0% </v>
      </c>
      <c r="D143" t="s">
        <v>286</v>
      </c>
      <c r="E143" t="str">
        <f t="shared" si="64"/>
        <v xml:space="preserve"> Risk estimation &amp; impact assessment </v>
      </c>
      <c r="F143" t="str">
        <f t="shared" si="65"/>
        <v xml:space="preserve"> 46.0% </v>
      </c>
      <c r="G143" t="s">
        <v>577</v>
      </c>
      <c r="H143" t="str">
        <f t="shared" si="66"/>
        <v xml:space="preserve"> Risk estimation &amp; impact assessment </v>
      </c>
      <c r="I143" t="str">
        <f t="shared" si="67"/>
        <v xml:space="preserve"> 48.0% </v>
      </c>
      <c r="J143" t="s">
        <v>389</v>
      </c>
      <c r="K143" t="str">
        <f t="shared" si="68"/>
        <v xml:space="preserve"> Risk estimation &amp; impact assessment </v>
      </c>
      <c r="L143" t="str">
        <f t="shared" si="69"/>
        <v xml:space="preserve"> 45.0% </v>
      </c>
      <c r="M143" t="s">
        <v>496</v>
      </c>
      <c r="N143" t="str">
        <f t="shared" si="70"/>
        <v xml:space="preserve"> Risk estimation &amp; impact assessment </v>
      </c>
      <c r="O143" t="str">
        <f t="shared" si="71"/>
        <v xml:space="preserve"> 43.0% </v>
      </c>
      <c r="P143" t="s">
        <v>389</v>
      </c>
      <c r="Q143" t="str">
        <f t="shared" si="72"/>
        <v xml:space="preserve"> Risk estimation &amp; impact assessment </v>
      </c>
      <c r="R143" t="str">
        <f t="shared" si="73"/>
        <v xml:space="preserve"> 45.0% </v>
      </c>
      <c r="S143" t="s">
        <v>702</v>
      </c>
      <c r="T143" t="str">
        <f t="shared" si="74"/>
        <v xml:space="preserve"> Risk estimation &amp; impact assessment </v>
      </c>
      <c r="U143" t="str">
        <f t="shared" si="75"/>
        <v xml:space="preserve"> 52.0% </v>
      </c>
      <c r="V143" t="s">
        <v>756</v>
      </c>
      <c r="W143" t="str">
        <f t="shared" si="76"/>
        <v xml:space="preserve"> Risk estimation &amp; impact assessment </v>
      </c>
      <c r="X143" t="str">
        <f t="shared" si="77"/>
        <v xml:space="preserve"> 80.0% </v>
      </c>
      <c r="Y143" t="s">
        <v>117</v>
      </c>
      <c r="Z143" t="str">
        <f t="shared" si="78"/>
        <v xml:space="preserve"> Risk estimation &amp; impact assessment </v>
      </c>
      <c r="AA143" t="str">
        <f t="shared" si="79"/>
        <v xml:space="preserve"> 40.0% </v>
      </c>
      <c r="AB143" t="s">
        <v>758</v>
      </c>
      <c r="AC143" t="str">
        <f t="shared" si="80"/>
        <v xml:space="preserve"> Risk estimation &amp; impact assessment </v>
      </c>
      <c r="AD143" t="str">
        <f t="shared" si="81"/>
        <v xml:space="preserve"> 65.0% </v>
      </c>
      <c r="AF143" t="s">
        <v>892</v>
      </c>
      <c r="AG143" t="str">
        <f t="shared" si="82"/>
        <v xml:space="preserve"> Risk estimation &amp; impact assessment </v>
      </c>
      <c r="AH143" t="str">
        <f t="shared" si="83"/>
        <v xml:space="preserve"> 54.0% </v>
      </c>
      <c r="AI143" t="s">
        <v>638</v>
      </c>
      <c r="AK143" t="str">
        <f t="shared" si="84"/>
        <v xml:space="preserve"> Risk estimation &amp; impact assessment </v>
      </c>
      <c r="AL143" t="str">
        <f t="shared" si="85"/>
        <v xml:space="preserve"> 50.0% </v>
      </c>
      <c r="AM143" t="s">
        <v>933</v>
      </c>
      <c r="AN143" t="s">
        <v>0</v>
      </c>
      <c r="AO143" t="str">
        <f t="shared" si="86"/>
        <v xml:space="preserve"> 70.0% </v>
      </c>
      <c r="AP143" t="s">
        <v>577</v>
      </c>
      <c r="AQ143" t="str">
        <f t="shared" si="87"/>
        <v xml:space="preserve"> Risk estimation &amp; impact assessment </v>
      </c>
      <c r="AR143" t="str">
        <f t="shared" si="88"/>
        <v xml:space="preserve"> 48.0% </v>
      </c>
      <c r="AS143" t="s">
        <v>638</v>
      </c>
      <c r="AT143" t="str">
        <f t="shared" si="89"/>
        <v xml:space="preserve"> Risk estimation &amp; impact assessment </v>
      </c>
      <c r="AU143" t="str">
        <f t="shared" si="90"/>
        <v xml:space="preserve"> 50.0% </v>
      </c>
      <c r="AV143" t="s">
        <v>1201</v>
      </c>
      <c r="AW143" t="str">
        <f t="shared" si="91"/>
        <v>Risk estimation &amp; impact assessment</v>
      </c>
      <c r="AX143" t="str">
        <f t="shared" si="92"/>
        <v xml:space="preserve"> 40.0% </v>
      </c>
    </row>
    <row r="144" spans="1:50" x14ac:dyDescent="0.45">
      <c r="A144" t="s">
        <v>65</v>
      </c>
      <c r="B144" t="str">
        <f t="shared" si="62"/>
        <v xml:space="preserve"> Other </v>
      </c>
      <c r="C144" t="str">
        <f t="shared" si="63"/>
        <v xml:space="preserve"> 2.0% </v>
      </c>
      <c r="D144" t="s">
        <v>76</v>
      </c>
      <c r="E144" t="str">
        <f t="shared" si="64"/>
        <v xml:space="preserve"> Other </v>
      </c>
      <c r="F144" t="str">
        <f t="shared" si="65"/>
        <v xml:space="preserve"> 5.0% </v>
      </c>
      <c r="G144" t="s">
        <v>76</v>
      </c>
      <c r="H144" t="str">
        <f t="shared" si="66"/>
        <v xml:space="preserve"> Other </v>
      </c>
      <c r="I144" t="str">
        <f t="shared" si="67"/>
        <v xml:space="preserve"> 5.0% </v>
      </c>
      <c r="J144" t="s">
        <v>76</v>
      </c>
      <c r="K144" t="str">
        <f t="shared" si="68"/>
        <v xml:space="preserve"> Other </v>
      </c>
      <c r="L144" t="str">
        <f t="shared" si="69"/>
        <v xml:space="preserve"> 5.0% </v>
      </c>
      <c r="M144" t="s">
        <v>483</v>
      </c>
      <c r="N144" t="str">
        <f t="shared" si="70"/>
        <v xml:space="preserve"> Other </v>
      </c>
      <c r="O144" t="str">
        <f t="shared" si="71"/>
        <v xml:space="preserve"> 3.0% </v>
      </c>
      <c r="P144" t="s">
        <v>297</v>
      </c>
      <c r="Q144" t="str">
        <f t="shared" si="72"/>
        <v xml:space="preserve"> Other </v>
      </c>
      <c r="R144" t="str">
        <f t="shared" si="73"/>
        <v xml:space="preserve"> 4.0% </v>
      </c>
      <c r="S144" t="s">
        <v>76</v>
      </c>
      <c r="T144" t="str">
        <f t="shared" si="74"/>
        <v xml:space="preserve"> Other </v>
      </c>
      <c r="U144" t="str">
        <f t="shared" si="75"/>
        <v xml:space="preserve"> 5.0% </v>
      </c>
      <c r="V144" t="s">
        <v>96</v>
      </c>
      <c r="W144" t="str">
        <f t="shared" si="76"/>
        <v xml:space="preserve"> Other </v>
      </c>
      <c r="X144" t="str">
        <f t="shared" si="77"/>
        <v xml:space="preserve"> 10.0% </v>
      </c>
      <c r="Y144" t="s">
        <v>275</v>
      </c>
      <c r="Z144" t="str">
        <f t="shared" si="78"/>
        <v xml:space="preserve"> Other </v>
      </c>
      <c r="AA144" t="str">
        <f t="shared" si="79"/>
        <v xml:space="preserve"> 8.0% </v>
      </c>
      <c r="AB144" t="s">
        <v>275</v>
      </c>
      <c r="AC144" t="str">
        <f t="shared" si="80"/>
        <v xml:space="preserve"> Other </v>
      </c>
      <c r="AD144" t="str">
        <f t="shared" si="81"/>
        <v xml:space="preserve"> 8.0% </v>
      </c>
      <c r="AF144" t="s">
        <v>76</v>
      </c>
      <c r="AG144" t="str">
        <f t="shared" si="82"/>
        <v xml:space="preserve"> Other </v>
      </c>
      <c r="AH144" t="str">
        <f t="shared" si="83"/>
        <v xml:space="preserve"> 5.0% </v>
      </c>
      <c r="AI144" t="s">
        <v>65</v>
      </c>
      <c r="AK144" t="str">
        <f t="shared" si="84"/>
        <v xml:space="preserve"> Other </v>
      </c>
      <c r="AL144" t="str">
        <f t="shared" si="85"/>
        <v xml:space="preserve"> 2.0% </v>
      </c>
      <c r="AM144" t="s">
        <v>65</v>
      </c>
      <c r="AN144" t="s">
        <v>0</v>
      </c>
      <c r="AO144" t="str">
        <f t="shared" si="86"/>
        <v xml:space="preserve"> 2.0% </v>
      </c>
      <c r="AP144" t="s">
        <v>255</v>
      </c>
      <c r="AQ144" t="str">
        <f t="shared" si="87"/>
        <v xml:space="preserve"> Other </v>
      </c>
      <c r="AR144" t="str">
        <f t="shared" si="88"/>
        <v xml:space="preserve"> 7.0% </v>
      </c>
      <c r="AS144" t="s">
        <v>233</v>
      </c>
      <c r="AT144" t="str">
        <f t="shared" si="89"/>
        <v xml:space="preserve"> Other </v>
      </c>
      <c r="AU144" t="str">
        <f t="shared" si="90"/>
        <v xml:space="preserve"> 6.0% </v>
      </c>
      <c r="AV144" t="s">
        <v>1202</v>
      </c>
      <c r="AW144" t="str">
        <f t="shared" si="91"/>
        <v>Other</v>
      </c>
      <c r="AX144" t="str">
        <f t="shared" si="92"/>
        <v xml:space="preserve"> 20.0% </v>
      </c>
    </row>
    <row r="145" spans="1:50" x14ac:dyDescent="0.45">
      <c r="A145" t="s">
        <v>53</v>
      </c>
      <c r="B145" t="str">
        <f t="shared" si="62"/>
        <v/>
      </c>
      <c r="C145" t="str">
        <f t="shared" si="63"/>
        <v/>
      </c>
      <c r="D145" t="s">
        <v>222</v>
      </c>
      <c r="E145" t="str">
        <f t="shared" si="64"/>
        <v/>
      </c>
      <c r="F145" t="str">
        <f t="shared" si="65"/>
        <v/>
      </c>
      <c r="G145" t="s">
        <v>53</v>
      </c>
      <c r="H145" t="str">
        <f t="shared" si="66"/>
        <v/>
      </c>
      <c r="I145" t="str">
        <f t="shared" si="67"/>
        <v/>
      </c>
      <c r="J145" t="s">
        <v>53</v>
      </c>
      <c r="K145" t="str">
        <f t="shared" si="68"/>
        <v/>
      </c>
      <c r="L145" t="str">
        <f t="shared" si="69"/>
        <v/>
      </c>
      <c r="M145" t="s">
        <v>53</v>
      </c>
      <c r="N145" t="str">
        <f t="shared" si="70"/>
        <v/>
      </c>
      <c r="O145" t="str">
        <f t="shared" si="71"/>
        <v/>
      </c>
      <c r="P145" t="s">
        <v>53</v>
      </c>
      <c r="Q145" t="str">
        <f t="shared" si="72"/>
        <v/>
      </c>
      <c r="R145" t="str">
        <f t="shared" si="73"/>
        <v/>
      </c>
      <c r="S145" t="s">
        <v>53</v>
      </c>
      <c r="T145" t="str">
        <f t="shared" si="74"/>
        <v/>
      </c>
      <c r="U145" t="str">
        <f t="shared" si="75"/>
        <v/>
      </c>
      <c r="V145" t="s">
        <v>53</v>
      </c>
      <c r="W145" t="str">
        <f t="shared" si="76"/>
        <v/>
      </c>
      <c r="X145" t="str">
        <f t="shared" si="77"/>
        <v/>
      </c>
      <c r="Y145" t="s">
        <v>53</v>
      </c>
      <c r="Z145" t="str">
        <f t="shared" si="78"/>
        <v/>
      </c>
      <c r="AA145" t="str">
        <f t="shared" si="79"/>
        <v/>
      </c>
      <c r="AB145" t="s">
        <v>53</v>
      </c>
      <c r="AC145" t="str">
        <f t="shared" si="80"/>
        <v/>
      </c>
      <c r="AD145" t="str">
        <f t="shared" si="81"/>
        <v/>
      </c>
      <c r="AF145" t="s">
        <v>53</v>
      </c>
      <c r="AG145" t="str">
        <f t="shared" si="82"/>
        <v/>
      </c>
      <c r="AH145" t="str">
        <f t="shared" si="83"/>
        <v/>
      </c>
      <c r="AI145" t="s">
        <v>53</v>
      </c>
      <c r="AK145" t="str">
        <f t="shared" si="84"/>
        <v/>
      </c>
      <c r="AL145" t="str">
        <f t="shared" si="85"/>
        <v/>
      </c>
      <c r="AM145" t="s">
        <v>53</v>
      </c>
      <c r="AN145" t="s">
        <v>0</v>
      </c>
      <c r="AO145" t="str">
        <f t="shared" si="86"/>
        <v/>
      </c>
      <c r="AP145" t="s">
        <v>53</v>
      </c>
      <c r="AQ145" t="str">
        <f t="shared" si="87"/>
        <v/>
      </c>
      <c r="AR145" t="str">
        <f t="shared" si="88"/>
        <v/>
      </c>
      <c r="AS145" t="s">
        <v>53</v>
      </c>
      <c r="AT145" t="str">
        <f t="shared" si="89"/>
        <v/>
      </c>
      <c r="AU145" t="str">
        <f t="shared" si="90"/>
        <v/>
      </c>
      <c r="AV145" t="s">
        <v>1130</v>
      </c>
      <c r="AW145" t="str">
        <f t="shared" si="91"/>
        <v/>
      </c>
      <c r="AX145" t="str">
        <f t="shared" si="92"/>
        <v/>
      </c>
    </row>
    <row r="146" spans="1:50" x14ac:dyDescent="0.45">
      <c r="A146" t="s">
        <v>123</v>
      </c>
      <c r="B146" t="str">
        <f t="shared" si="62"/>
        <v xml:space="preserve"> Designing / creating controls </v>
      </c>
      <c r="C146" t="str">
        <f t="shared" si="63"/>
        <v xml:space="preserve"> 30.0% </v>
      </c>
      <c r="D146" t="s">
        <v>287</v>
      </c>
      <c r="E146" t="str">
        <f t="shared" si="64"/>
        <v xml:space="preserve"> Designing / creating controls </v>
      </c>
      <c r="F146" t="str">
        <f t="shared" si="65"/>
        <v xml:space="preserve"> 24.0% </v>
      </c>
      <c r="G146" t="s">
        <v>578</v>
      </c>
      <c r="H146" t="str">
        <f t="shared" si="66"/>
        <v xml:space="preserve"> Designing / creating controls </v>
      </c>
      <c r="I146" t="str">
        <f t="shared" si="67"/>
        <v xml:space="preserve"> 22.0% </v>
      </c>
      <c r="J146" t="s">
        <v>390</v>
      </c>
      <c r="K146" t="str">
        <f t="shared" si="68"/>
        <v xml:space="preserve"> Designing / creating controls </v>
      </c>
      <c r="L146" t="str">
        <f t="shared" si="69"/>
        <v xml:space="preserve"> 40.0% </v>
      </c>
      <c r="M146" t="s">
        <v>497</v>
      </c>
      <c r="N146" t="str">
        <f t="shared" si="70"/>
        <v xml:space="preserve"> Designing / creating controls </v>
      </c>
      <c r="O146" t="str">
        <f t="shared" si="71"/>
        <v xml:space="preserve"> 19.0% </v>
      </c>
      <c r="P146" t="s">
        <v>123</v>
      </c>
      <c r="Q146" t="str">
        <f t="shared" si="72"/>
        <v xml:space="preserve"> Designing / creating controls </v>
      </c>
      <c r="R146" t="str">
        <f t="shared" si="73"/>
        <v xml:space="preserve"> 30.0% </v>
      </c>
      <c r="S146" t="s">
        <v>118</v>
      </c>
      <c r="T146" t="str">
        <f t="shared" si="74"/>
        <v xml:space="preserve"> Designing / creating controls </v>
      </c>
      <c r="U146" t="str">
        <f t="shared" si="75"/>
        <v xml:space="preserve"> 25.0% </v>
      </c>
      <c r="V146" t="s">
        <v>390</v>
      </c>
      <c r="W146" t="str">
        <f t="shared" si="76"/>
        <v xml:space="preserve"> Designing / creating controls </v>
      </c>
      <c r="X146" t="str">
        <f t="shared" si="77"/>
        <v xml:space="preserve"> 40.0% </v>
      </c>
      <c r="Y146" t="s">
        <v>793</v>
      </c>
      <c r="Z146" t="str">
        <f t="shared" si="78"/>
        <v xml:space="preserve"> Designing / creating controls </v>
      </c>
      <c r="AA146" t="str">
        <f t="shared" si="79"/>
        <v xml:space="preserve"> 15.0% </v>
      </c>
      <c r="AB146" t="s">
        <v>113</v>
      </c>
      <c r="AC146" t="str">
        <f t="shared" si="80"/>
        <v xml:space="preserve"> Designing / creating controls </v>
      </c>
      <c r="AD146" t="str">
        <f t="shared" si="81"/>
        <v xml:space="preserve"> 20.0% </v>
      </c>
      <c r="AF146" t="s">
        <v>893</v>
      </c>
      <c r="AG146" t="str">
        <f t="shared" si="82"/>
        <v xml:space="preserve"> Designing / creating controls </v>
      </c>
      <c r="AH146" t="str">
        <f t="shared" si="83"/>
        <v xml:space="preserve"> 18.0% </v>
      </c>
      <c r="AI146" t="s">
        <v>793</v>
      </c>
      <c r="AK146" t="str">
        <f t="shared" si="84"/>
        <v xml:space="preserve"> Designing / creating controls </v>
      </c>
      <c r="AL146" t="str">
        <f t="shared" si="85"/>
        <v xml:space="preserve"> 15.0% </v>
      </c>
      <c r="AM146" t="s">
        <v>118</v>
      </c>
      <c r="AN146" t="s">
        <v>0</v>
      </c>
      <c r="AO146" t="str">
        <f t="shared" si="86"/>
        <v xml:space="preserve"> 25.0% </v>
      </c>
      <c r="AP146" t="s">
        <v>893</v>
      </c>
      <c r="AQ146" t="str">
        <f t="shared" si="87"/>
        <v xml:space="preserve"> Designing / creating controls </v>
      </c>
      <c r="AR146" t="str">
        <f t="shared" si="88"/>
        <v xml:space="preserve"> 18.0% </v>
      </c>
      <c r="AS146" t="s">
        <v>123</v>
      </c>
      <c r="AT146" t="str">
        <f t="shared" si="89"/>
        <v xml:space="preserve"> Designing / creating controls </v>
      </c>
      <c r="AU146" t="str">
        <f t="shared" si="90"/>
        <v xml:space="preserve"> 30.0% </v>
      </c>
      <c r="AV146" t="s">
        <v>1203</v>
      </c>
      <c r="AW146" t="str">
        <f t="shared" si="91"/>
        <v>Designing / creating controls</v>
      </c>
      <c r="AX146" t="str">
        <f t="shared" si="92"/>
        <v xml:space="preserve"> 25.0% </v>
      </c>
    </row>
    <row r="147" spans="1:50" x14ac:dyDescent="0.45">
      <c r="A147" t="s">
        <v>124</v>
      </c>
      <c r="B147" t="str">
        <f t="shared" si="62"/>
        <v xml:space="preserve"> Operating / executing controls </v>
      </c>
      <c r="C147" t="str">
        <f t="shared" si="63"/>
        <v xml:space="preserve"> 40.0% </v>
      </c>
      <c r="D147" t="s">
        <v>124</v>
      </c>
      <c r="E147" t="str">
        <f t="shared" si="64"/>
        <v xml:space="preserve"> Operating / executing controls </v>
      </c>
      <c r="F147" t="str">
        <f t="shared" si="65"/>
        <v xml:space="preserve"> 40.0% </v>
      </c>
      <c r="G147" t="s">
        <v>579</v>
      </c>
      <c r="H147" t="str">
        <f t="shared" si="66"/>
        <v xml:space="preserve"> Operating / executing controls </v>
      </c>
      <c r="I147" t="str">
        <f t="shared" si="67"/>
        <v xml:space="preserve"> 35.0% </v>
      </c>
      <c r="J147" t="s">
        <v>391</v>
      </c>
      <c r="K147" t="str">
        <f t="shared" si="68"/>
        <v xml:space="preserve"> Operating / executing controls </v>
      </c>
      <c r="L147" t="str">
        <f t="shared" si="69"/>
        <v xml:space="preserve"> 45.0% </v>
      </c>
      <c r="M147" t="s">
        <v>498</v>
      </c>
      <c r="N147" t="str">
        <f t="shared" si="70"/>
        <v xml:space="preserve"> Operating / executing controls </v>
      </c>
      <c r="O147" t="str">
        <f t="shared" si="71"/>
        <v xml:space="preserve"> 28.0% </v>
      </c>
      <c r="P147" t="s">
        <v>579</v>
      </c>
      <c r="Q147" t="str">
        <f t="shared" si="72"/>
        <v xml:space="preserve"> Operating / executing controls </v>
      </c>
      <c r="R147" t="str">
        <f t="shared" si="73"/>
        <v xml:space="preserve"> 35.0% </v>
      </c>
      <c r="S147" t="s">
        <v>579</v>
      </c>
      <c r="T147" t="str">
        <f t="shared" si="74"/>
        <v xml:space="preserve"> Operating / executing controls </v>
      </c>
      <c r="U147" t="str">
        <f t="shared" si="75"/>
        <v xml:space="preserve"> 35.0% </v>
      </c>
      <c r="V147" t="s">
        <v>114</v>
      </c>
      <c r="W147" t="str">
        <f t="shared" si="76"/>
        <v xml:space="preserve"> Operating / executing controls </v>
      </c>
      <c r="X147" t="str">
        <f t="shared" si="77"/>
        <v xml:space="preserve"> 55.0% </v>
      </c>
      <c r="Y147" t="s">
        <v>794</v>
      </c>
      <c r="Z147" t="str">
        <f t="shared" si="78"/>
        <v xml:space="preserve"> Operating / executing controls </v>
      </c>
      <c r="AA147" t="str">
        <f t="shared" si="79"/>
        <v xml:space="preserve"> 25.0% </v>
      </c>
      <c r="AB147" t="s">
        <v>579</v>
      </c>
      <c r="AC147" t="str">
        <f t="shared" si="80"/>
        <v xml:space="preserve"> Operating / executing controls </v>
      </c>
      <c r="AD147" t="str">
        <f t="shared" si="81"/>
        <v xml:space="preserve"> 35.0% </v>
      </c>
      <c r="AF147" t="s">
        <v>894</v>
      </c>
      <c r="AG147" t="str">
        <f t="shared" si="82"/>
        <v xml:space="preserve"> Operating / executing controls </v>
      </c>
      <c r="AH147" t="str">
        <f t="shared" si="83"/>
        <v xml:space="preserve"> 34.0% </v>
      </c>
      <c r="AI147" t="s">
        <v>124</v>
      </c>
      <c r="AK147" t="str">
        <f t="shared" si="84"/>
        <v xml:space="preserve"> Operating / executing controls </v>
      </c>
      <c r="AL147" t="str">
        <f t="shared" si="85"/>
        <v xml:space="preserve"> 40.0% </v>
      </c>
      <c r="AM147" t="s">
        <v>385</v>
      </c>
      <c r="AN147" t="s">
        <v>0</v>
      </c>
      <c r="AO147" t="str">
        <f t="shared" si="86"/>
        <v xml:space="preserve"> 50.0% </v>
      </c>
      <c r="AP147" t="s">
        <v>498</v>
      </c>
      <c r="AQ147" t="str">
        <f t="shared" si="87"/>
        <v xml:space="preserve"> Operating / executing controls </v>
      </c>
      <c r="AR147" t="str">
        <f t="shared" si="88"/>
        <v xml:space="preserve"> 28.0% </v>
      </c>
      <c r="AS147" t="s">
        <v>124</v>
      </c>
      <c r="AT147" t="str">
        <f t="shared" si="89"/>
        <v xml:space="preserve"> Operating / executing controls </v>
      </c>
      <c r="AU147" t="str">
        <f t="shared" si="90"/>
        <v xml:space="preserve"> 40.0% </v>
      </c>
      <c r="AV147" t="s">
        <v>1204</v>
      </c>
      <c r="AW147" t="str">
        <f t="shared" si="91"/>
        <v>Operating / executing controls</v>
      </c>
      <c r="AX147" t="str">
        <f t="shared" si="92"/>
        <v xml:space="preserve"> 40.0% </v>
      </c>
    </row>
    <row r="148" spans="1:50" x14ac:dyDescent="0.45">
      <c r="A148" t="s">
        <v>125</v>
      </c>
      <c r="B148" t="str">
        <f t="shared" si="62"/>
        <v xml:space="preserve"> Monitoring control performance </v>
      </c>
      <c r="C148" t="str">
        <f t="shared" si="63"/>
        <v xml:space="preserve"> 55.0% </v>
      </c>
      <c r="D148" t="s">
        <v>288</v>
      </c>
      <c r="E148" t="str">
        <f t="shared" si="64"/>
        <v xml:space="preserve"> Monitoring control performance </v>
      </c>
      <c r="F148" t="str">
        <f t="shared" si="65"/>
        <v xml:space="preserve"> 46.0% </v>
      </c>
      <c r="G148" t="s">
        <v>388</v>
      </c>
      <c r="H148" t="str">
        <f t="shared" si="66"/>
        <v xml:space="preserve"> Monitoring control performance </v>
      </c>
      <c r="I148" t="str">
        <f t="shared" si="67"/>
        <v xml:space="preserve"> 40.0% </v>
      </c>
      <c r="J148" t="s">
        <v>120</v>
      </c>
      <c r="K148" t="str">
        <f t="shared" si="68"/>
        <v xml:space="preserve"> Monitoring control performance </v>
      </c>
      <c r="L148" t="str">
        <f t="shared" si="69"/>
        <v xml:space="preserve"> 50.0% </v>
      </c>
      <c r="M148" t="s">
        <v>499</v>
      </c>
      <c r="N148" t="str">
        <f t="shared" si="70"/>
        <v xml:space="preserve"> Monitoring control performance </v>
      </c>
      <c r="O148" t="str">
        <f t="shared" si="71"/>
        <v xml:space="preserve"> 33.0% </v>
      </c>
      <c r="P148" t="s">
        <v>115</v>
      </c>
      <c r="Q148" t="str">
        <f t="shared" si="72"/>
        <v xml:space="preserve"> Monitoring control performance </v>
      </c>
      <c r="R148" t="str">
        <f t="shared" si="73"/>
        <v xml:space="preserve"> 45.0% </v>
      </c>
      <c r="S148" t="s">
        <v>115</v>
      </c>
      <c r="T148" t="str">
        <f t="shared" si="74"/>
        <v xml:space="preserve"> Monitoring control performance </v>
      </c>
      <c r="U148" t="str">
        <f t="shared" si="75"/>
        <v xml:space="preserve"> 45.0% </v>
      </c>
      <c r="V148" t="s">
        <v>757</v>
      </c>
      <c r="W148" t="str">
        <f t="shared" si="76"/>
        <v xml:space="preserve"> Monitoring control performance </v>
      </c>
      <c r="X148" t="str">
        <f t="shared" si="77"/>
        <v xml:space="preserve"> 65.0% </v>
      </c>
      <c r="Y148" t="s">
        <v>388</v>
      </c>
      <c r="Z148" t="str">
        <f t="shared" si="78"/>
        <v xml:space="preserve"> Monitoring control performance </v>
      </c>
      <c r="AA148" t="str">
        <f t="shared" si="79"/>
        <v xml:space="preserve"> 40.0% </v>
      </c>
      <c r="AB148" t="s">
        <v>115</v>
      </c>
      <c r="AC148" t="str">
        <f t="shared" si="80"/>
        <v xml:space="preserve"> Monitoring control performance </v>
      </c>
      <c r="AD148" t="str">
        <f t="shared" si="81"/>
        <v xml:space="preserve"> 45.0% </v>
      </c>
      <c r="AF148" t="s">
        <v>895</v>
      </c>
      <c r="AG148" t="str">
        <f t="shared" si="82"/>
        <v xml:space="preserve"> Monitoring control performance </v>
      </c>
      <c r="AH148" t="str">
        <f t="shared" si="83"/>
        <v xml:space="preserve"> 42.0% </v>
      </c>
      <c r="AI148" t="s">
        <v>963</v>
      </c>
      <c r="AK148" t="str">
        <f t="shared" si="84"/>
        <v xml:space="preserve"> Monitoring control performance </v>
      </c>
      <c r="AL148" t="str">
        <f t="shared" si="85"/>
        <v xml:space="preserve"> 35.0% </v>
      </c>
      <c r="AM148" t="s">
        <v>637</v>
      </c>
      <c r="AN148" t="s">
        <v>0</v>
      </c>
      <c r="AO148" t="str">
        <f t="shared" si="86"/>
        <v xml:space="preserve"> 60.0% </v>
      </c>
      <c r="AP148" t="s">
        <v>1015</v>
      </c>
      <c r="AQ148" t="str">
        <f t="shared" si="87"/>
        <v xml:space="preserve"> Monitoring control performance </v>
      </c>
      <c r="AR148" t="str">
        <f t="shared" si="88"/>
        <v xml:space="preserve"> 34.0% </v>
      </c>
      <c r="AS148" t="s">
        <v>120</v>
      </c>
      <c r="AT148" t="str">
        <f t="shared" si="89"/>
        <v xml:space="preserve"> Monitoring control performance </v>
      </c>
      <c r="AU148" t="str">
        <f t="shared" si="90"/>
        <v xml:space="preserve"> 50.0% </v>
      </c>
      <c r="AV148" t="s">
        <v>1205</v>
      </c>
      <c r="AW148" t="str">
        <f t="shared" si="91"/>
        <v>Monitoring control performance</v>
      </c>
      <c r="AX148" t="str">
        <f t="shared" si="92"/>
        <v xml:space="preserve"> 40.0% </v>
      </c>
    </row>
    <row r="149" spans="1:50" x14ac:dyDescent="0.45">
      <c r="A149" t="s">
        <v>126</v>
      </c>
      <c r="B149" t="str">
        <f t="shared" si="62"/>
        <v xml:space="preserve"> Exception prioritization </v>
      </c>
      <c r="C149" t="str">
        <f t="shared" si="63"/>
        <v xml:space="preserve"> 50.0% </v>
      </c>
      <c r="D149" t="s">
        <v>289</v>
      </c>
      <c r="E149" t="str">
        <f t="shared" si="64"/>
        <v xml:space="preserve"> Exception prioritization </v>
      </c>
      <c r="F149" t="str">
        <f t="shared" si="65"/>
        <v xml:space="preserve"> 38.0% </v>
      </c>
      <c r="G149" t="s">
        <v>580</v>
      </c>
      <c r="H149" t="str">
        <f t="shared" si="66"/>
        <v xml:space="preserve"> Exception prioritization </v>
      </c>
      <c r="I149" t="str">
        <f t="shared" si="67"/>
        <v xml:space="preserve"> 30.0% </v>
      </c>
      <c r="J149" t="s">
        <v>392</v>
      </c>
      <c r="K149" t="str">
        <f t="shared" si="68"/>
        <v xml:space="preserve"> Exception prioritization </v>
      </c>
      <c r="L149" t="str">
        <f t="shared" si="69"/>
        <v xml:space="preserve"> 35.0% </v>
      </c>
      <c r="M149" t="s">
        <v>500</v>
      </c>
      <c r="N149" t="str">
        <f t="shared" si="70"/>
        <v xml:space="preserve"> Exception prioritization </v>
      </c>
      <c r="O149" t="str">
        <f t="shared" si="71"/>
        <v xml:space="preserve"> 36.0% </v>
      </c>
      <c r="P149" t="s">
        <v>392</v>
      </c>
      <c r="Q149" t="str">
        <f t="shared" si="72"/>
        <v xml:space="preserve"> Exception prioritization </v>
      </c>
      <c r="R149" t="str">
        <f t="shared" si="73"/>
        <v xml:space="preserve"> 35.0% </v>
      </c>
      <c r="S149" t="s">
        <v>126</v>
      </c>
      <c r="T149" t="str">
        <f t="shared" si="74"/>
        <v xml:space="preserve"> Exception prioritization </v>
      </c>
      <c r="U149" t="str">
        <f t="shared" si="75"/>
        <v xml:space="preserve"> 50.0% </v>
      </c>
      <c r="V149" t="s">
        <v>701</v>
      </c>
      <c r="W149" t="str">
        <f t="shared" si="76"/>
        <v xml:space="preserve"> Exception prioritization </v>
      </c>
      <c r="X149" t="str">
        <f t="shared" si="77"/>
        <v xml:space="preserve"> 70.0% </v>
      </c>
      <c r="Y149" t="s">
        <v>580</v>
      </c>
      <c r="Z149" t="str">
        <f t="shared" si="78"/>
        <v xml:space="preserve"> Exception prioritization </v>
      </c>
      <c r="AA149" t="str">
        <f t="shared" si="79"/>
        <v xml:space="preserve"> 30.0% </v>
      </c>
      <c r="AB149" t="s">
        <v>831</v>
      </c>
      <c r="AC149" t="str">
        <f t="shared" si="80"/>
        <v xml:space="preserve"> Exception prioritization </v>
      </c>
      <c r="AD149" t="str">
        <f t="shared" si="81"/>
        <v xml:space="preserve"> 45.0% </v>
      </c>
      <c r="AF149" t="s">
        <v>896</v>
      </c>
      <c r="AG149" t="str">
        <f t="shared" si="82"/>
        <v xml:space="preserve"> Exception prioritization </v>
      </c>
      <c r="AH149" t="str">
        <f t="shared" si="83"/>
        <v xml:space="preserve"> 48.0% </v>
      </c>
      <c r="AI149" t="s">
        <v>831</v>
      </c>
      <c r="AK149" t="str">
        <f t="shared" si="84"/>
        <v xml:space="preserve"> Exception prioritization </v>
      </c>
      <c r="AL149" t="str">
        <f t="shared" si="85"/>
        <v xml:space="preserve"> 45.0% </v>
      </c>
      <c r="AM149" t="s">
        <v>934</v>
      </c>
      <c r="AN149" t="s">
        <v>0</v>
      </c>
      <c r="AO149" t="str">
        <f t="shared" si="86"/>
        <v xml:space="preserve"> 40.0% </v>
      </c>
      <c r="AP149" t="s">
        <v>934</v>
      </c>
      <c r="AQ149" t="str">
        <f t="shared" si="87"/>
        <v xml:space="preserve"> Exception prioritization </v>
      </c>
      <c r="AR149" t="str">
        <f t="shared" si="88"/>
        <v xml:space="preserve"> 40.0% </v>
      </c>
      <c r="AS149" t="s">
        <v>289</v>
      </c>
      <c r="AT149" t="str">
        <f t="shared" si="89"/>
        <v xml:space="preserve"> Exception prioritization </v>
      </c>
      <c r="AU149" t="str">
        <f t="shared" si="90"/>
        <v xml:space="preserve"> 38.0% </v>
      </c>
      <c r="AV149" t="s">
        <v>1206</v>
      </c>
      <c r="AW149" t="str">
        <f t="shared" si="91"/>
        <v>Exception prioritization</v>
      </c>
      <c r="AX149" t="str">
        <f t="shared" si="92"/>
        <v xml:space="preserve"> 35.0% </v>
      </c>
    </row>
    <row r="150" spans="1:50" x14ac:dyDescent="0.45">
      <c r="A150" t="s">
        <v>127</v>
      </c>
      <c r="B150" t="str">
        <f t="shared" si="62"/>
        <v xml:space="preserve"> Risk estimation &amp; impact assessment </v>
      </c>
      <c r="C150" t="str">
        <f t="shared" si="63"/>
        <v xml:space="preserve"> 35.0% </v>
      </c>
      <c r="D150" t="s">
        <v>290</v>
      </c>
      <c r="E150" t="str">
        <f t="shared" si="64"/>
        <v xml:space="preserve"> Risk estimation &amp; impact assessment </v>
      </c>
      <c r="F150" t="str">
        <f t="shared" si="65"/>
        <v xml:space="preserve"> 36.0% </v>
      </c>
      <c r="G150" t="s">
        <v>127</v>
      </c>
      <c r="H150" t="str">
        <f t="shared" si="66"/>
        <v xml:space="preserve"> Risk estimation &amp; impact assessment </v>
      </c>
      <c r="I150" t="str">
        <f t="shared" si="67"/>
        <v xml:space="preserve"> 35.0% </v>
      </c>
      <c r="J150" t="s">
        <v>117</v>
      </c>
      <c r="K150" t="str">
        <f t="shared" si="68"/>
        <v xml:space="preserve"> Risk estimation &amp; impact assessment </v>
      </c>
      <c r="L150" t="str">
        <f t="shared" si="69"/>
        <v xml:space="preserve"> 40.0% </v>
      </c>
      <c r="M150" t="s">
        <v>501</v>
      </c>
      <c r="N150" t="str">
        <f t="shared" si="70"/>
        <v xml:space="preserve"> Risk estimation &amp; impact assessment </v>
      </c>
      <c r="O150" t="str">
        <f t="shared" si="71"/>
        <v xml:space="preserve"> 29.0% </v>
      </c>
      <c r="P150" t="s">
        <v>117</v>
      </c>
      <c r="Q150" t="str">
        <f t="shared" si="72"/>
        <v xml:space="preserve"> Risk estimation &amp; impact assessment </v>
      </c>
      <c r="R150" t="str">
        <f t="shared" si="73"/>
        <v xml:space="preserve"> 40.0% </v>
      </c>
      <c r="S150" t="s">
        <v>703</v>
      </c>
      <c r="T150" t="str">
        <f t="shared" si="74"/>
        <v xml:space="preserve"> Risk estimation &amp; impact assessment </v>
      </c>
      <c r="U150" t="str">
        <f t="shared" si="75"/>
        <v xml:space="preserve"> 38.0% </v>
      </c>
      <c r="V150" t="s">
        <v>758</v>
      </c>
      <c r="W150" t="str">
        <f t="shared" si="76"/>
        <v xml:space="preserve"> Risk estimation &amp; impact assessment </v>
      </c>
      <c r="X150" t="str">
        <f t="shared" si="77"/>
        <v xml:space="preserve"> 65.0% </v>
      </c>
      <c r="Y150" t="s">
        <v>127</v>
      </c>
      <c r="Z150" t="str">
        <f t="shared" si="78"/>
        <v xml:space="preserve"> Risk estimation &amp; impact assessment </v>
      </c>
      <c r="AA150" t="str">
        <f t="shared" si="79"/>
        <v xml:space="preserve"> 35.0% </v>
      </c>
      <c r="AB150" t="s">
        <v>117</v>
      </c>
      <c r="AC150" t="str">
        <f t="shared" si="80"/>
        <v xml:space="preserve"> Risk estimation &amp; impact assessment </v>
      </c>
      <c r="AD150" t="str">
        <f t="shared" si="81"/>
        <v xml:space="preserve"> 40.0% </v>
      </c>
      <c r="AF150" t="s">
        <v>897</v>
      </c>
      <c r="AG150" t="str">
        <f t="shared" si="82"/>
        <v xml:space="preserve"> Risk estimation &amp; impact assessment </v>
      </c>
      <c r="AH150" t="str">
        <f t="shared" si="83"/>
        <v xml:space="preserve"> 32.0% </v>
      </c>
      <c r="AI150" t="s">
        <v>964</v>
      </c>
      <c r="AK150" t="str">
        <f t="shared" si="84"/>
        <v xml:space="preserve"> Risk estimation &amp; impact assessment </v>
      </c>
      <c r="AL150" t="str">
        <f t="shared" si="85"/>
        <v xml:space="preserve"> 30.0% </v>
      </c>
      <c r="AM150" t="s">
        <v>638</v>
      </c>
      <c r="AN150" t="s">
        <v>0</v>
      </c>
      <c r="AO150" t="str">
        <f t="shared" si="86"/>
        <v xml:space="preserve"> 50.0% </v>
      </c>
      <c r="AP150" t="s">
        <v>1016</v>
      </c>
      <c r="AQ150" t="str">
        <f t="shared" si="87"/>
        <v xml:space="preserve"> Risk estimation &amp; impact assessment </v>
      </c>
      <c r="AR150" t="str">
        <f t="shared" si="88"/>
        <v xml:space="preserve"> 33.0% </v>
      </c>
      <c r="AS150" t="s">
        <v>127</v>
      </c>
      <c r="AT150" t="str">
        <f t="shared" si="89"/>
        <v xml:space="preserve"> Risk estimation &amp; impact assessment </v>
      </c>
      <c r="AU150" t="str">
        <f t="shared" si="90"/>
        <v xml:space="preserve"> 35.0% </v>
      </c>
      <c r="AV150" t="s">
        <v>1207</v>
      </c>
      <c r="AW150" t="str">
        <f t="shared" si="91"/>
        <v>Risk estimation &amp; impact assessment</v>
      </c>
      <c r="AX150" t="str">
        <f t="shared" si="92"/>
        <v xml:space="preserve"> 50.0% </v>
      </c>
    </row>
    <row r="151" spans="1:50" x14ac:dyDescent="0.45">
      <c r="A151" t="s">
        <v>76</v>
      </c>
      <c r="B151" t="str">
        <f t="shared" si="62"/>
        <v xml:space="preserve"> Other </v>
      </c>
      <c r="C151" t="str">
        <f t="shared" si="63"/>
        <v xml:space="preserve"> 5.0% </v>
      </c>
      <c r="D151" t="s">
        <v>96</v>
      </c>
      <c r="E151" t="str">
        <f t="shared" si="64"/>
        <v xml:space="preserve"> Other </v>
      </c>
      <c r="F151" t="str">
        <f t="shared" si="65"/>
        <v xml:space="preserve"> 10.0% </v>
      </c>
      <c r="G151" t="s">
        <v>96</v>
      </c>
      <c r="H151" t="str">
        <f t="shared" si="66"/>
        <v xml:space="preserve"> Other </v>
      </c>
      <c r="I151" t="str">
        <f t="shared" si="67"/>
        <v xml:space="preserve"> 10.0% </v>
      </c>
      <c r="J151" t="s">
        <v>96</v>
      </c>
      <c r="K151" t="str">
        <f t="shared" si="68"/>
        <v xml:space="preserve"> Other </v>
      </c>
      <c r="L151" t="str">
        <f t="shared" si="69"/>
        <v xml:space="preserve"> 10.0% </v>
      </c>
      <c r="M151" t="s">
        <v>233</v>
      </c>
      <c r="N151" t="str">
        <f t="shared" si="70"/>
        <v xml:space="preserve"> Other </v>
      </c>
      <c r="O151" t="str">
        <f t="shared" si="71"/>
        <v xml:space="preserve"> 6.0% </v>
      </c>
      <c r="P151" t="s">
        <v>275</v>
      </c>
      <c r="Q151" t="str">
        <f t="shared" si="72"/>
        <v xml:space="preserve"> Other </v>
      </c>
      <c r="R151" t="str">
        <f t="shared" si="73"/>
        <v xml:space="preserve"> 8.0% </v>
      </c>
      <c r="S151" t="s">
        <v>560</v>
      </c>
      <c r="T151" t="str">
        <f t="shared" si="74"/>
        <v xml:space="preserve"> Other </v>
      </c>
      <c r="U151" t="str">
        <f t="shared" si="75"/>
        <v xml:space="preserve"> 12.0% </v>
      </c>
      <c r="V151" t="s">
        <v>352</v>
      </c>
      <c r="W151" t="str">
        <f t="shared" si="76"/>
        <v xml:space="preserve"> Other </v>
      </c>
      <c r="X151" t="str">
        <f t="shared" si="77"/>
        <v xml:space="preserve"> 20.0% </v>
      </c>
      <c r="Y151" t="s">
        <v>39</v>
      </c>
      <c r="Z151" t="str">
        <f t="shared" si="78"/>
        <v xml:space="preserve"> Other </v>
      </c>
      <c r="AA151" t="str">
        <f t="shared" si="79"/>
        <v xml:space="preserve"> 15.0% </v>
      </c>
      <c r="AB151" t="s">
        <v>39</v>
      </c>
      <c r="AC151" t="str">
        <f t="shared" si="80"/>
        <v xml:space="preserve"> Other </v>
      </c>
      <c r="AD151" t="str">
        <f t="shared" si="81"/>
        <v xml:space="preserve"> 15.0% </v>
      </c>
      <c r="AF151" t="s">
        <v>275</v>
      </c>
      <c r="AG151" t="str">
        <f t="shared" si="82"/>
        <v xml:space="preserve"> Other </v>
      </c>
      <c r="AH151" t="str">
        <f t="shared" si="83"/>
        <v xml:space="preserve"> 8.0% </v>
      </c>
      <c r="AI151" t="s">
        <v>76</v>
      </c>
      <c r="AK151" t="str">
        <f t="shared" si="84"/>
        <v xml:space="preserve"> Other </v>
      </c>
      <c r="AL151" t="str">
        <f t="shared" si="85"/>
        <v xml:space="preserve"> 5.0% </v>
      </c>
      <c r="AM151" t="s">
        <v>76</v>
      </c>
      <c r="AN151" t="s">
        <v>0</v>
      </c>
      <c r="AO151" t="str">
        <f t="shared" si="86"/>
        <v xml:space="preserve"> 5.0% </v>
      </c>
      <c r="AP151" t="s">
        <v>560</v>
      </c>
      <c r="AQ151" t="str">
        <f t="shared" si="87"/>
        <v xml:space="preserve"> Other </v>
      </c>
      <c r="AR151" t="str">
        <f t="shared" si="88"/>
        <v xml:space="preserve"> 12.0% </v>
      </c>
      <c r="AS151" t="s">
        <v>96</v>
      </c>
      <c r="AT151" t="str">
        <f t="shared" si="89"/>
        <v xml:space="preserve"> Other </v>
      </c>
      <c r="AU151" t="str">
        <f t="shared" si="90"/>
        <v xml:space="preserve"> 10.0% </v>
      </c>
      <c r="AV151" t="s">
        <v>1202</v>
      </c>
      <c r="AW151" t="str">
        <f t="shared" si="91"/>
        <v>Other</v>
      </c>
      <c r="AX151" t="str">
        <f t="shared" si="92"/>
        <v xml:space="preserve"> 20.0% </v>
      </c>
    </row>
    <row r="152" spans="1:50" x14ac:dyDescent="0.45">
      <c r="A152" t="s">
        <v>128</v>
      </c>
      <c r="B152" t="str">
        <f t="shared" si="62"/>
        <v/>
      </c>
      <c r="C152" t="str">
        <f t="shared" si="63"/>
        <v/>
      </c>
      <c r="D152" t="s">
        <v>291</v>
      </c>
      <c r="E152" t="str">
        <f t="shared" si="64"/>
        <v/>
      </c>
      <c r="F152" t="str">
        <f t="shared" si="65"/>
        <v/>
      </c>
      <c r="G152" t="s">
        <v>128</v>
      </c>
      <c r="H152" t="str">
        <f t="shared" si="66"/>
        <v/>
      </c>
      <c r="I152" t="str">
        <f t="shared" si="67"/>
        <v/>
      </c>
      <c r="J152" t="s">
        <v>128</v>
      </c>
      <c r="K152" t="str">
        <f t="shared" si="68"/>
        <v/>
      </c>
      <c r="L152" t="str">
        <f t="shared" si="69"/>
        <v/>
      </c>
      <c r="M152" t="s">
        <v>128</v>
      </c>
      <c r="N152" t="str">
        <f t="shared" si="70"/>
        <v/>
      </c>
      <c r="O152" t="str">
        <f t="shared" si="71"/>
        <v/>
      </c>
      <c r="P152" t="s">
        <v>640</v>
      </c>
      <c r="Q152" t="str">
        <f t="shared" si="72"/>
        <v/>
      </c>
      <c r="R152" t="str">
        <f t="shared" si="73"/>
        <v/>
      </c>
      <c r="S152" t="s">
        <v>704</v>
      </c>
      <c r="T152" t="str">
        <f t="shared" si="74"/>
        <v/>
      </c>
      <c r="U152" t="str">
        <f t="shared" si="75"/>
        <v/>
      </c>
      <c r="V152" t="s">
        <v>759</v>
      </c>
      <c r="W152" t="str">
        <f t="shared" si="76"/>
        <v/>
      </c>
      <c r="X152" t="str">
        <f t="shared" si="77"/>
        <v/>
      </c>
      <c r="Y152" t="s">
        <v>128</v>
      </c>
      <c r="Z152" t="str">
        <f t="shared" si="78"/>
        <v/>
      </c>
      <c r="AA152" t="str">
        <f t="shared" si="79"/>
        <v/>
      </c>
      <c r="AB152" t="s">
        <v>128</v>
      </c>
      <c r="AC152" t="str">
        <f t="shared" si="80"/>
        <v/>
      </c>
      <c r="AD152" t="str">
        <f t="shared" si="81"/>
        <v/>
      </c>
      <c r="AF152" t="s">
        <v>128</v>
      </c>
      <c r="AG152" t="str">
        <f t="shared" si="82"/>
        <v/>
      </c>
      <c r="AH152" t="str">
        <f t="shared" si="83"/>
        <v/>
      </c>
      <c r="AI152" t="s">
        <v>128</v>
      </c>
      <c r="AK152" t="str">
        <f t="shared" si="84"/>
        <v/>
      </c>
      <c r="AL152" t="str">
        <f t="shared" si="85"/>
        <v/>
      </c>
      <c r="AM152" t="s">
        <v>128</v>
      </c>
      <c r="AN152" t="s">
        <v>0</v>
      </c>
      <c r="AO152" t="str">
        <f t="shared" si="86"/>
        <v/>
      </c>
      <c r="AP152" t="s">
        <v>128</v>
      </c>
      <c r="AQ152" t="str">
        <f t="shared" si="87"/>
        <v/>
      </c>
      <c r="AR152" t="str">
        <f t="shared" si="88"/>
        <v/>
      </c>
      <c r="AS152" t="s">
        <v>128</v>
      </c>
      <c r="AT152" t="str">
        <f t="shared" si="89"/>
        <v/>
      </c>
      <c r="AU152" t="str">
        <f t="shared" si="90"/>
        <v/>
      </c>
      <c r="AV152" t="s">
        <v>1208</v>
      </c>
      <c r="AW152" t="str">
        <f t="shared" si="91"/>
        <v/>
      </c>
      <c r="AX152" t="str">
        <f t="shared" si="92"/>
        <v/>
      </c>
    </row>
    <row r="153" spans="1:50" x14ac:dyDescent="0.45">
      <c r="A153" t="s">
        <v>41</v>
      </c>
      <c r="B153" t="str">
        <f t="shared" si="62"/>
        <v/>
      </c>
      <c r="C153" t="str">
        <f t="shared" si="63"/>
        <v/>
      </c>
      <c r="D153" t="s">
        <v>212</v>
      </c>
      <c r="E153" t="str">
        <f t="shared" si="64"/>
        <v/>
      </c>
      <c r="F153" t="str">
        <f t="shared" si="65"/>
        <v/>
      </c>
      <c r="G153" t="s">
        <v>41</v>
      </c>
      <c r="H153" t="str">
        <f t="shared" si="66"/>
        <v/>
      </c>
      <c r="I153" t="str">
        <f t="shared" si="67"/>
        <v/>
      </c>
      <c r="J153" t="s">
        <v>41</v>
      </c>
      <c r="K153" t="str">
        <f t="shared" si="68"/>
        <v/>
      </c>
      <c r="L153" t="str">
        <f t="shared" si="69"/>
        <v/>
      </c>
      <c r="M153" t="s">
        <v>41</v>
      </c>
      <c r="N153" t="str">
        <f t="shared" si="70"/>
        <v/>
      </c>
      <c r="O153" t="str">
        <f t="shared" si="71"/>
        <v/>
      </c>
      <c r="P153" t="s">
        <v>41</v>
      </c>
      <c r="Q153" t="str">
        <f t="shared" si="72"/>
        <v/>
      </c>
      <c r="R153" t="str">
        <f t="shared" si="73"/>
        <v/>
      </c>
      <c r="S153" t="s">
        <v>41</v>
      </c>
      <c r="T153" t="str">
        <f t="shared" si="74"/>
        <v/>
      </c>
      <c r="U153" t="str">
        <f t="shared" si="75"/>
        <v/>
      </c>
      <c r="V153" t="s">
        <v>41</v>
      </c>
      <c r="W153" t="str">
        <f t="shared" si="76"/>
        <v/>
      </c>
      <c r="X153" t="str">
        <f t="shared" si="77"/>
        <v/>
      </c>
      <c r="Y153" t="s">
        <v>41</v>
      </c>
      <c r="Z153" t="str">
        <f t="shared" si="78"/>
        <v/>
      </c>
      <c r="AA153" t="str">
        <f t="shared" si="79"/>
        <v/>
      </c>
      <c r="AB153" t="s">
        <v>41</v>
      </c>
      <c r="AC153" t="str">
        <f t="shared" si="80"/>
        <v/>
      </c>
      <c r="AD153" t="str">
        <f t="shared" si="81"/>
        <v/>
      </c>
      <c r="AF153" t="s">
        <v>41</v>
      </c>
      <c r="AG153" t="str">
        <f t="shared" si="82"/>
        <v/>
      </c>
      <c r="AH153" t="str">
        <f t="shared" si="83"/>
        <v/>
      </c>
      <c r="AI153" t="s">
        <v>41</v>
      </c>
      <c r="AK153" t="str">
        <f t="shared" si="84"/>
        <v/>
      </c>
      <c r="AL153" t="str">
        <f t="shared" si="85"/>
        <v/>
      </c>
      <c r="AM153" t="s">
        <v>41</v>
      </c>
      <c r="AN153" t="s">
        <v>0</v>
      </c>
      <c r="AO153" t="str">
        <f t="shared" si="86"/>
        <v/>
      </c>
      <c r="AP153" t="s">
        <v>41</v>
      </c>
      <c r="AQ153" t="str">
        <f t="shared" si="87"/>
        <v/>
      </c>
      <c r="AR153" t="str">
        <f t="shared" si="88"/>
        <v/>
      </c>
      <c r="AS153" t="s">
        <v>41</v>
      </c>
      <c r="AT153" t="str">
        <f t="shared" si="89"/>
        <v/>
      </c>
      <c r="AU153" t="str">
        <f t="shared" si="90"/>
        <v/>
      </c>
      <c r="AV153" t="s">
        <v>1118</v>
      </c>
      <c r="AW153" t="str">
        <f t="shared" si="91"/>
        <v/>
      </c>
      <c r="AX153" t="str">
        <f t="shared" si="92"/>
        <v/>
      </c>
    </row>
    <row r="154" spans="1:50" x14ac:dyDescent="0.45">
      <c r="A154" t="s">
        <v>129</v>
      </c>
      <c r="B154" t="str">
        <f t="shared" si="62"/>
        <v xml:space="preserve"> Automated reports </v>
      </c>
      <c r="C154" t="str">
        <f t="shared" si="63"/>
        <v xml:space="preserve"> 65.0% </v>
      </c>
      <c r="D154" t="s">
        <v>292</v>
      </c>
      <c r="E154" t="str">
        <f t="shared" si="64"/>
        <v xml:space="preserve"> Automated reports </v>
      </c>
      <c r="F154" t="str">
        <f t="shared" si="65"/>
        <v xml:space="preserve"> 52.0% </v>
      </c>
      <c r="G154" t="s">
        <v>298</v>
      </c>
      <c r="H154" t="str">
        <f t="shared" si="66"/>
        <v xml:space="preserve"> Automated reports </v>
      </c>
      <c r="I154" t="str">
        <f t="shared" si="67"/>
        <v xml:space="preserve"> 50.0% </v>
      </c>
      <c r="J154" t="s">
        <v>298</v>
      </c>
      <c r="K154" t="str">
        <f t="shared" si="68"/>
        <v xml:space="preserve"> Automated reports </v>
      </c>
      <c r="L154" t="str">
        <f t="shared" si="69"/>
        <v xml:space="preserve"> 50.0% </v>
      </c>
      <c r="M154" t="s">
        <v>502</v>
      </c>
      <c r="N154" t="str">
        <f t="shared" si="70"/>
        <v xml:space="preserve"> Automated reports </v>
      </c>
      <c r="O154" t="str">
        <f t="shared" si="71"/>
        <v xml:space="preserve"> 47.0% </v>
      </c>
      <c r="P154" t="s">
        <v>135</v>
      </c>
      <c r="Q154" t="str">
        <f t="shared" si="72"/>
        <v xml:space="preserve"> Automated reports </v>
      </c>
      <c r="R154" t="str">
        <f t="shared" si="73"/>
        <v xml:space="preserve"> 55.0% </v>
      </c>
      <c r="S154" t="s">
        <v>705</v>
      </c>
      <c r="T154" t="str">
        <f t="shared" si="74"/>
        <v xml:space="preserve"> Automated reports </v>
      </c>
      <c r="U154" t="str">
        <f t="shared" si="75"/>
        <v xml:space="preserve"> 62.0% </v>
      </c>
      <c r="V154" t="s">
        <v>141</v>
      </c>
      <c r="W154" t="str">
        <f t="shared" si="76"/>
        <v xml:space="preserve"> Automated reports </v>
      </c>
      <c r="X154" t="str">
        <f t="shared" si="77"/>
        <v xml:space="preserve"> 70.0% </v>
      </c>
      <c r="Y154" t="s">
        <v>298</v>
      </c>
      <c r="Z154" t="str">
        <f t="shared" si="78"/>
        <v xml:space="preserve"> Automated reports </v>
      </c>
      <c r="AA154" t="str">
        <f t="shared" si="79"/>
        <v xml:space="preserve"> 50.0% </v>
      </c>
      <c r="AB154" t="s">
        <v>298</v>
      </c>
      <c r="AC154" t="str">
        <f t="shared" si="80"/>
        <v xml:space="preserve"> Automated reports </v>
      </c>
      <c r="AD154" t="str">
        <f t="shared" si="81"/>
        <v xml:space="preserve"> 50.0% </v>
      </c>
      <c r="AF154" t="s">
        <v>898</v>
      </c>
      <c r="AG154" t="str">
        <f t="shared" si="82"/>
        <v xml:space="preserve"> Automated reports </v>
      </c>
      <c r="AH154" t="str">
        <f t="shared" si="83"/>
        <v xml:space="preserve"> 58.0% </v>
      </c>
      <c r="AI154" t="s">
        <v>135</v>
      </c>
      <c r="AK154" t="str">
        <f t="shared" si="84"/>
        <v xml:space="preserve"> Automated reports </v>
      </c>
      <c r="AL154" t="str">
        <f t="shared" si="85"/>
        <v xml:space="preserve"> 55.0% </v>
      </c>
      <c r="AM154" t="s">
        <v>129</v>
      </c>
      <c r="AN154" t="s">
        <v>0</v>
      </c>
      <c r="AO154" t="str">
        <f t="shared" si="86"/>
        <v xml:space="preserve"> 65.0% </v>
      </c>
      <c r="AP154" t="s">
        <v>513</v>
      </c>
      <c r="AQ154" t="str">
        <f t="shared" si="87"/>
        <v xml:space="preserve"> Automated reports </v>
      </c>
      <c r="AR154" t="str">
        <f t="shared" si="88"/>
        <v xml:space="preserve"> 36.0% </v>
      </c>
      <c r="AS154" t="s">
        <v>898</v>
      </c>
      <c r="AT154" t="str">
        <f t="shared" si="89"/>
        <v xml:space="preserve"> Automated reports </v>
      </c>
      <c r="AU154" t="str">
        <f t="shared" si="90"/>
        <v xml:space="preserve"> 58.0% </v>
      </c>
      <c r="AV154" t="s">
        <v>1209</v>
      </c>
      <c r="AW154" t="str">
        <f t="shared" si="91"/>
        <v>Automated reports</v>
      </c>
      <c r="AX154" t="str">
        <f t="shared" si="92"/>
        <v xml:space="preserve"> 65.0% </v>
      </c>
    </row>
    <row r="155" spans="1:50" x14ac:dyDescent="0.45">
      <c r="A155" t="s">
        <v>130</v>
      </c>
      <c r="B155" t="str">
        <f t="shared" si="62"/>
        <v xml:space="preserve"> Dashboards &amp; visualization </v>
      </c>
      <c r="C155" t="str">
        <f t="shared" si="63"/>
        <v xml:space="preserve"> 70.0% </v>
      </c>
      <c r="D155" t="s">
        <v>293</v>
      </c>
      <c r="E155" t="str">
        <f t="shared" si="64"/>
        <v xml:space="preserve"> Dashboards &amp; visualization </v>
      </c>
      <c r="F155" t="str">
        <f t="shared" si="65"/>
        <v xml:space="preserve"> 58.0% </v>
      </c>
      <c r="G155" t="s">
        <v>394</v>
      </c>
      <c r="H155" t="str">
        <f t="shared" si="66"/>
        <v xml:space="preserve"> Dashboards &amp; visualization </v>
      </c>
      <c r="I155" t="str">
        <f t="shared" si="67"/>
        <v xml:space="preserve"> 55.0% </v>
      </c>
      <c r="J155" t="s">
        <v>136</v>
      </c>
      <c r="K155" t="str">
        <f t="shared" si="68"/>
        <v xml:space="preserve"> Dashboards &amp; visualization </v>
      </c>
      <c r="L155" t="str">
        <f t="shared" si="69"/>
        <v xml:space="preserve"> 60.0% </v>
      </c>
      <c r="M155" t="s">
        <v>503</v>
      </c>
      <c r="N155" t="str">
        <f t="shared" si="70"/>
        <v xml:space="preserve"> Dashboards &amp; visualization </v>
      </c>
      <c r="O155" t="str">
        <f t="shared" si="71"/>
        <v xml:space="preserve"> 54.0% </v>
      </c>
      <c r="P155" t="s">
        <v>641</v>
      </c>
      <c r="Q155" t="str">
        <f t="shared" si="72"/>
        <v xml:space="preserve"> Dashboards &amp; visualization </v>
      </c>
      <c r="R155" t="str">
        <f t="shared" si="73"/>
        <v xml:space="preserve"> 65.0% </v>
      </c>
      <c r="S155" t="s">
        <v>394</v>
      </c>
      <c r="T155" t="str">
        <f t="shared" si="74"/>
        <v xml:space="preserve"> Dashboards &amp; visualization </v>
      </c>
      <c r="U155" t="str">
        <f t="shared" si="75"/>
        <v xml:space="preserve"> 55.0% </v>
      </c>
      <c r="V155" t="s">
        <v>760</v>
      </c>
      <c r="W155" t="str">
        <f t="shared" si="76"/>
        <v xml:space="preserve"> Dashboards &amp; visualization </v>
      </c>
      <c r="X155" t="str">
        <f t="shared" si="77"/>
        <v xml:space="preserve"> 80.0% </v>
      </c>
      <c r="Y155" t="s">
        <v>136</v>
      </c>
      <c r="Z155" t="str">
        <f t="shared" si="78"/>
        <v xml:space="preserve"> Dashboards &amp; visualization </v>
      </c>
      <c r="AA155" t="str">
        <f t="shared" si="79"/>
        <v xml:space="preserve"> 60.0% </v>
      </c>
      <c r="AB155" t="s">
        <v>136</v>
      </c>
      <c r="AC155" t="str">
        <f t="shared" si="80"/>
        <v xml:space="preserve"> Dashboards &amp; visualization </v>
      </c>
      <c r="AD155" t="str">
        <f t="shared" si="81"/>
        <v xml:space="preserve"> 60.0% </v>
      </c>
      <c r="AF155" t="s">
        <v>899</v>
      </c>
      <c r="AG155" t="str">
        <f t="shared" si="82"/>
        <v xml:space="preserve"> Dashboards &amp; visualization </v>
      </c>
      <c r="AH155" t="str">
        <f t="shared" si="83"/>
        <v xml:space="preserve"> 66.0% </v>
      </c>
      <c r="AI155" t="s">
        <v>641</v>
      </c>
      <c r="AK155" t="str">
        <f t="shared" si="84"/>
        <v xml:space="preserve"> Dashboards &amp; visualization </v>
      </c>
      <c r="AL155" t="str">
        <f t="shared" si="85"/>
        <v xml:space="preserve"> 65.0% </v>
      </c>
      <c r="AM155" t="s">
        <v>130</v>
      </c>
      <c r="AN155" t="s">
        <v>0</v>
      </c>
      <c r="AO155" t="str">
        <f t="shared" si="86"/>
        <v xml:space="preserve"> 70.0% </v>
      </c>
      <c r="AP155" t="s">
        <v>304</v>
      </c>
      <c r="AQ155" t="str">
        <f t="shared" si="87"/>
        <v xml:space="preserve"> Dashboards &amp; visualization </v>
      </c>
      <c r="AR155" t="str">
        <f t="shared" si="88"/>
        <v xml:space="preserve"> 52.0% </v>
      </c>
      <c r="AS155" t="s">
        <v>1066</v>
      </c>
      <c r="AT155" t="str">
        <f t="shared" si="89"/>
        <v xml:space="preserve"> Dashboards &amp; visualization </v>
      </c>
      <c r="AU155" t="str">
        <f t="shared" si="90"/>
        <v xml:space="preserve"> 72.0% </v>
      </c>
      <c r="AV155" t="s">
        <v>1210</v>
      </c>
      <c r="AW155" t="str">
        <f t="shared" si="91"/>
        <v>Dashboards &amp; visualization</v>
      </c>
      <c r="AX155" t="str">
        <f t="shared" si="92"/>
        <v xml:space="preserve"> 70.0% </v>
      </c>
    </row>
    <row r="156" spans="1:50" x14ac:dyDescent="0.45">
      <c r="A156" t="s">
        <v>131</v>
      </c>
      <c r="B156" t="str">
        <f t="shared" si="62"/>
        <v xml:space="preserve"> Predictive insights </v>
      </c>
      <c r="C156" t="str">
        <f t="shared" si="63"/>
        <v xml:space="preserve"> 45.0% </v>
      </c>
      <c r="D156" t="s">
        <v>294</v>
      </c>
      <c r="E156" t="str">
        <f t="shared" si="64"/>
        <v xml:space="preserve"> Predictive insights </v>
      </c>
      <c r="F156" t="str">
        <f t="shared" si="65"/>
        <v xml:space="preserve"> 44.0% </v>
      </c>
      <c r="G156" t="s">
        <v>399</v>
      </c>
      <c r="H156" t="str">
        <f t="shared" si="66"/>
        <v xml:space="preserve"> Predictive insights </v>
      </c>
      <c r="I156" t="str">
        <f t="shared" si="67"/>
        <v xml:space="preserve"> 35.0% </v>
      </c>
      <c r="J156" t="s">
        <v>143</v>
      </c>
      <c r="K156" t="str">
        <f t="shared" si="68"/>
        <v xml:space="preserve"> Predictive insights </v>
      </c>
      <c r="L156" t="str">
        <f t="shared" si="69"/>
        <v xml:space="preserve"> 40.0% </v>
      </c>
      <c r="M156" t="s">
        <v>504</v>
      </c>
      <c r="N156" t="str">
        <f t="shared" si="70"/>
        <v xml:space="preserve"> Predictive insights </v>
      </c>
      <c r="O156" t="str">
        <f t="shared" si="71"/>
        <v xml:space="preserve"> 43.0% </v>
      </c>
      <c r="P156" t="s">
        <v>131</v>
      </c>
      <c r="Q156" t="str">
        <f t="shared" si="72"/>
        <v xml:space="preserve"> Predictive insights </v>
      </c>
      <c r="R156" t="str">
        <f t="shared" si="73"/>
        <v xml:space="preserve"> 45.0% </v>
      </c>
      <c r="S156" t="s">
        <v>143</v>
      </c>
      <c r="T156" t="str">
        <f t="shared" si="74"/>
        <v xml:space="preserve"> Predictive insights </v>
      </c>
      <c r="U156" t="str">
        <f t="shared" si="75"/>
        <v xml:space="preserve"> 40.0% </v>
      </c>
      <c r="V156" t="s">
        <v>395</v>
      </c>
      <c r="W156" t="str">
        <f t="shared" si="76"/>
        <v xml:space="preserve"> Predictive insights </v>
      </c>
      <c r="X156" t="str">
        <f t="shared" si="77"/>
        <v xml:space="preserve"> 50.0% </v>
      </c>
      <c r="Y156" t="s">
        <v>399</v>
      </c>
      <c r="Z156" t="str">
        <f t="shared" si="78"/>
        <v xml:space="preserve"> Predictive insights </v>
      </c>
      <c r="AA156" t="str">
        <f t="shared" si="79"/>
        <v xml:space="preserve"> 35.0% </v>
      </c>
      <c r="AB156" t="s">
        <v>131</v>
      </c>
      <c r="AC156" t="str">
        <f t="shared" si="80"/>
        <v xml:space="preserve"> Predictive insights </v>
      </c>
      <c r="AD156" t="str">
        <f t="shared" si="81"/>
        <v xml:space="preserve"> 45.0% </v>
      </c>
      <c r="AF156" t="s">
        <v>299</v>
      </c>
      <c r="AG156" t="str">
        <f t="shared" si="82"/>
        <v xml:space="preserve"> Predictive insights </v>
      </c>
      <c r="AH156" t="str">
        <f t="shared" si="83"/>
        <v xml:space="preserve"> 48.0% </v>
      </c>
      <c r="AI156" t="s">
        <v>965</v>
      </c>
      <c r="AK156" t="str">
        <f t="shared" si="84"/>
        <v xml:space="preserve"> Predictive insights </v>
      </c>
      <c r="AL156" t="str">
        <f t="shared" si="85"/>
        <v xml:space="preserve"> 30.0% </v>
      </c>
      <c r="AM156" t="s">
        <v>131</v>
      </c>
      <c r="AN156" t="s">
        <v>0</v>
      </c>
      <c r="AO156" t="str">
        <f t="shared" si="86"/>
        <v xml:space="preserve"> 45.0% </v>
      </c>
      <c r="AP156" t="s">
        <v>1017</v>
      </c>
      <c r="AQ156" t="str">
        <f t="shared" si="87"/>
        <v xml:space="preserve"> Predictive insights </v>
      </c>
      <c r="AR156" t="str">
        <f t="shared" si="88"/>
        <v xml:space="preserve"> 34.0% </v>
      </c>
      <c r="AS156" t="s">
        <v>1067</v>
      </c>
      <c r="AT156" t="str">
        <f t="shared" si="89"/>
        <v xml:space="preserve"> Predictive insights </v>
      </c>
      <c r="AU156" t="str">
        <f t="shared" si="90"/>
        <v xml:space="preserve"> 60.0% </v>
      </c>
      <c r="AV156" t="s">
        <v>1211</v>
      </c>
      <c r="AW156" t="str">
        <f t="shared" si="91"/>
        <v>Predictive insights</v>
      </c>
      <c r="AX156" t="str">
        <f t="shared" si="92"/>
        <v xml:space="preserve"> 50.0% </v>
      </c>
    </row>
    <row r="157" spans="1:50" x14ac:dyDescent="0.45">
      <c r="A157" t="s">
        <v>132</v>
      </c>
      <c r="B157" t="str">
        <f t="shared" si="62"/>
        <v xml:space="preserve"> Root cause analysis </v>
      </c>
      <c r="C157" t="str">
        <f t="shared" si="63"/>
        <v xml:space="preserve"> 55.0% </v>
      </c>
      <c r="D157" t="s">
        <v>295</v>
      </c>
      <c r="E157" t="str">
        <f t="shared" si="64"/>
        <v xml:space="preserve"> Root cause analysis </v>
      </c>
      <c r="F157" t="str">
        <f t="shared" si="65"/>
        <v xml:space="preserve"> 42.0% </v>
      </c>
      <c r="G157" t="s">
        <v>396</v>
      </c>
      <c r="H157" t="str">
        <f t="shared" si="66"/>
        <v xml:space="preserve"> Root cause analysis </v>
      </c>
      <c r="I157" t="str">
        <f t="shared" si="67"/>
        <v xml:space="preserve"> 40.0% </v>
      </c>
      <c r="J157" t="s">
        <v>144</v>
      </c>
      <c r="K157" t="str">
        <f t="shared" si="68"/>
        <v xml:space="preserve"> Root cause analysis </v>
      </c>
      <c r="L157" t="str">
        <f t="shared" si="69"/>
        <v xml:space="preserve"> 45.0% </v>
      </c>
      <c r="M157" t="s">
        <v>505</v>
      </c>
      <c r="N157" t="str">
        <f t="shared" si="70"/>
        <v xml:space="preserve"> Root cause analysis </v>
      </c>
      <c r="O157" t="str">
        <f t="shared" si="71"/>
        <v xml:space="preserve"> 38.0% </v>
      </c>
      <c r="P157" t="s">
        <v>642</v>
      </c>
      <c r="Q157" t="str">
        <f t="shared" si="72"/>
        <v xml:space="preserve"> Root cause analysis </v>
      </c>
      <c r="R157" t="str">
        <f t="shared" si="73"/>
        <v xml:space="preserve"> 50.0% </v>
      </c>
      <c r="S157" t="s">
        <v>581</v>
      </c>
      <c r="T157" t="str">
        <f t="shared" si="74"/>
        <v xml:space="preserve"> Root cause analysis </v>
      </c>
      <c r="U157" t="str">
        <f t="shared" si="75"/>
        <v xml:space="preserve"> 35.0% </v>
      </c>
      <c r="V157" t="s">
        <v>138</v>
      </c>
      <c r="W157" t="str">
        <f t="shared" si="76"/>
        <v xml:space="preserve"> Root cause analysis </v>
      </c>
      <c r="X157" t="str">
        <f t="shared" si="77"/>
        <v xml:space="preserve"> 65.0% </v>
      </c>
      <c r="Y157" t="s">
        <v>396</v>
      </c>
      <c r="Z157" t="str">
        <f t="shared" si="78"/>
        <v xml:space="preserve"> Root cause analysis </v>
      </c>
      <c r="AA157" t="str">
        <f t="shared" si="79"/>
        <v xml:space="preserve"> 40.0% </v>
      </c>
      <c r="AB157" t="s">
        <v>396</v>
      </c>
      <c r="AC157" t="str">
        <f t="shared" si="80"/>
        <v xml:space="preserve"> Root cause analysis </v>
      </c>
      <c r="AD157" t="str">
        <f t="shared" si="81"/>
        <v xml:space="preserve"> 40.0% </v>
      </c>
      <c r="AF157" t="s">
        <v>900</v>
      </c>
      <c r="AG157" t="str">
        <f t="shared" si="82"/>
        <v xml:space="preserve"> Root cause analysis </v>
      </c>
      <c r="AH157" t="str">
        <f t="shared" si="83"/>
        <v xml:space="preserve"> 54.0% </v>
      </c>
      <c r="AI157" t="s">
        <v>144</v>
      </c>
      <c r="AK157" t="str">
        <f t="shared" si="84"/>
        <v xml:space="preserve"> Root cause analysis </v>
      </c>
      <c r="AL157" t="str">
        <f t="shared" si="85"/>
        <v xml:space="preserve"> 45.0% </v>
      </c>
      <c r="AM157" t="s">
        <v>132</v>
      </c>
      <c r="AN157" t="s">
        <v>0</v>
      </c>
      <c r="AO157" t="str">
        <f t="shared" si="86"/>
        <v xml:space="preserve"> 55.0% </v>
      </c>
      <c r="AP157" t="s">
        <v>1018</v>
      </c>
      <c r="AQ157" t="str">
        <f t="shared" si="87"/>
        <v xml:space="preserve"> Root cause analysis </v>
      </c>
      <c r="AR157" t="str">
        <f t="shared" si="88"/>
        <v xml:space="preserve"> 31.0% </v>
      </c>
      <c r="AS157" t="s">
        <v>904</v>
      </c>
      <c r="AT157" t="str">
        <f t="shared" si="89"/>
        <v xml:space="preserve"> Root cause analysis </v>
      </c>
      <c r="AU157" t="str">
        <f t="shared" si="90"/>
        <v xml:space="preserve"> 48.0% </v>
      </c>
      <c r="AV157" t="s">
        <v>1212</v>
      </c>
      <c r="AW157" t="str">
        <f t="shared" si="91"/>
        <v>Root cause analysis</v>
      </c>
      <c r="AX157" t="str">
        <f t="shared" si="92"/>
        <v xml:space="preserve"> 45.0% </v>
      </c>
    </row>
    <row r="158" spans="1:50" x14ac:dyDescent="0.45">
      <c r="A158" t="s">
        <v>133</v>
      </c>
      <c r="B158" t="str">
        <f t="shared" si="62"/>
        <v xml:space="preserve"> Executive summaries </v>
      </c>
      <c r="C158" t="str">
        <f t="shared" si="63"/>
        <v xml:space="preserve"> 30.0% </v>
      </c>
      <c r="D158" t="s">
        <v>296</v>
      </c>
      <c r="E158" t="str">
        <f t="shared" si="64"/>
        <v xml:space="preserve"> Executive summaries </v>
      </c>
      <c r="F158" t="str">
        <f t="shared" si="65"/>
        <v xml:space="preserve"> 28.0% </v>
      </c>
      <c r="G158" t="s">
        <v>397</v>
      </c>
      <c r="H158" t="str">
        <f t="shared" si="66"/>
        <v xml:space="preserve"> Executive summaries </v>
      </c>
      <c r="I158" t="str">
        <f t="shared" si="67"/>
        <v xml:space="preserve"> 25.0% </v>
      </c>
      <c r="J158" t="s">
        <v>133</v>
      </c>
      <c r="K158" t="str">
        <f t="shared" si="68"/>
        <v xml:space="preserve"> Executive summaries </v>
      </c>
      <c r="L158" t="str">
        <f t="shared" si="69"/>
        <v xml:space="preserve"> 30.0% </v>
      </c>
      <c r="M158" t="s">
        <v>506</v>
      </c>
      <c r="N158" t="str">
        <f t="shared" si="70"/>
        <v xml:space="preserve"> Executive summaries </v>
      </c>
      <c r="O158" t="str">
        <f t="shared" si="71"/>
        <v xml:space="preserve"> 19.0% </v>
      </c>
      <c r="P158" t="s">
        <v>133</v>
      </c>
      <c r="Q158" t="str">
        <f t="shared" si="72"/>
        <v xml:space="preserve"> Executive summaries </v>
      </c>
      <c r="R158" t="str">
        <f t="shared" si="73"/>
        <v xml:space="preserve"> 30.0% </v>
      </c>
      <c r="S158" t="s">
        <v>397</v>
      </c>
      <c r="T158" t="str">
        <f t="shared" si="74"/>
        <v xml:space="preserve"> Executive summaries </v>
      </c>
      <c r="U158" t="str">
        <f t="shared" si="75"/>
        <v xml:space="preserve"> 25.0% </v>
      </c>
      <c r="V158" t="s">
        <v>145</v>
      </c>
      <c r="W158" t="str">
        <f t="shared" si="76"/>
        <v xml:space="preserve"> Executive summaries </v>
      </c>
      <c r="X158" t="str">
        <f t="shared" si="77"/>
        <v xml:space="preserve"> 40.0% </v>
      </c>
      <c r="Y158" t="s">
        <v>397</v>
      </c>
      <c r="Z158" t="str">
        <f t="shared" si="78"/>
        <v xml:space="preserve"> Executive summaries </v>
      </c>
      <c r="AA158" t="str">
        <f t="shared" si="79"/>
        <v xml:space="preserve"> 25.0% </v>
      </c>
      <c r="AB158" t="s">
        <v>139</v>
      </c>
      <c r="AC158" t="str">
        <f t="shared" si="80"/>
        <v xml:space="preserve"> Executive summaries </v>
      </c>
      <c r="AD158" t="str">
        <f t="shared" si="81"/>
        <v xml:space="preserve"> 35.0% </v>
      </c>
      <c r="AF158" t="s">
        <v>901</v>
      </c>
      <c r="AG158" t="str">
        <f t="shared" si="82"/>
        <v xml:space="preserve"> Executive summaries </v>
      </c>
      <c r="AH158" t="str">
        <f t="shared" si="83"/>
        <v xml:space="preserve"> 44.0% </v>
      </c>
      <c r="AI158" t="s">
        <v>397</v>
      </c>
      <c r="AK158" t="str">
        <f t="shared" si="84"/>
        <v xml:space="preserve"> Executive summaries </v>
      </c>
      <c r="AL158" t="str">
        <f t="shared" si="85"/>
        <v xml:space="preserve"> 25.0% </v>
      </c>
      <c r="AM158" t="s">
        <v>139</v>
      </c>
      <c r="AN158" t="s">
        <v>0</v>
      </c>
      <c r="AO158" t="str">
        <f t="shared" si="86"/>
        <v xml:space="preserve"> 35.0% </v>
      </c>
      <c r="AP158" t="s">
        <v>582</v>
      </c>
      <c r="AQ158" t="str">
        <f t="shared" si="87"/>
        <v xml:space="preserve"> Executive summaries </v>
      </c>
      <c r="AR158" t="str">
        <f t="shared" si="88"/>
        <v xml:space="preserve"> 22.0% </v>
      </c>
      <c r="AS158" t="s">
        <v>133</v>
      </c>
      <c r="AT158" t="str">
        <f t="shared" si="89"/>
        <v xml:space="preserve"> Executive summaries </v>
      </c>
      <c r="AU158" t="str">
        <f t="shared" si="90"/>
        <v xml:space="preserve"> 30.0% </v>
      </c>
      <c r="AV158" t="s">
        <v>1213</v>
      </c>
      <c r="AW158" t="str">
        <f t="shared" si="91"/>
        <v>Executive summaries</v>
      </c>
      <c r="AX158" t="str">
        <f t="shared" si="92"/>
        <v xml:space="preserve"> 40.0% </v>
      </c>
    </row>
    <row r="159" spans="1:50" x14ac:dyDescent="0.45">
      <c r="A159" t="s">
        <v>134</v>
      </c>
      <c r="B159" t="str">
        <f t="shared" si="62"/>
        <v xml:space="preserve"> Not used for reporting </v>
      </c>
      <c r="C159" t="str">
        <f t="shared" si="63"/>
        <v xml:space="preserve"> 10.0% </v>
      </c>
      <c r="D159" t="s">
        <v>134</v>
      </c>
      <c r="E159" t="str">
        <f t="shared" si="64"/>
        <v xml:space="preserve"> Not used for reporting </v>
      </c>
      <c r="F159" t="str">
        <f t="shared" si="65"/>
        <v xml:space="preserve"> 10.0% </v>
      </c>
      <c r="G159" t="s">
        <v>400</v>
      </c>
      <c r="H159" t="str">
        <f t="shared" si="66"/>
        <v xml:space="preserve"> Not used for reporting </v>
      </c>
      <c r="I159" t="str">
        <f t="shared" si="67"/>
        <v xml:space="preserve"> 15.0% </v>
      </c>
      <c r="J159" t="s">
        <v>134</v>
      </c>
      <c r="K159" t="str">
        <f t="shared" si="68"/>
        <v xml:space="preserve"> Not used for reporting </v>
      </c>
      <c r="L159" t="str">
        <f t="shared" si="69"/>
        <v xml:space="preserve"> 10.0% </v>
      </c>
      <c r="M159" t="s">
        <v>507</v>
      </c>
      <c r="N159" t="str">
        <f t="shared" si="70"/>
        <v xml:space="preserve"> Not used for reporting </v>
      </c>
      <c r="O159" t="str">
        <f t="shared" si="71"/>
        <v xml:space="preserve"> 17.0% </v>
      </c>
      <c r="P159" t="s">
        <v>134</v>
      </c>
      <c r="Q159" t="str">
        <f t="shared" si="72"/>
        <v xml:space="preserve"> Not used for reporting </v>
      </c>
      <c r="R159" t="str">
        <f t="shared" si="73"/>
        <v xml:space="preserve"> 10.0% </v>
      </c>
      <c r="S159" t="s">
        <v>308</v>
      </c>
      <c r="T159" t="str">
        <f t="shared" si="74"/>
        <v xml:space="preserve"> Not used for reporting </v>
      </c>
      <c r="U159" t="str">
        <f t="shared" si="75"/>
        <v xml:space="preserve"> 18.0% </v>
      </c>
      <c r="V159" t="s">
        <v>134</v>
      </c>
      <c r="W159" t="str">
        <f t="shared" si="76"/>
        <v xml:space="preserve"> Not used for reporting </v>
      </c>
      <c r="X159" t="str">
        <f t="shared" si="77"/>
        <v xml:space="preserve"> 10.0% </v>
      </c>
      <c r="Y159" t="s">
        <v>795</v>
      </c>
      <c r="Z159" t="str">
        <f t="shared" si="78"/>
        <v xml:space="preserve"> Not used for reporting </v>
      </c>
      <c r="AA159" t="str">
        <f t="shared" si="79"/>
        <v xml:space="preserve"> 25.0% </v>
      </c>
      <c r="AB159" t="s">
        <v>708</v>
      </c>
      <c r="AC159" t="str">
        <f t="shared" si="80"/>
        <v xml:space="preserve"> Not used for reporting </v>
      </c>
      <c r="AD159" t="str">
        <f t="shared" si="81"/>
        <v xml:space="preserve"> 20.0% </v>
      </c>
      <c r="AF159" t="s">
        <v>302</v>
      </c>
      <c r="AG159" t="str">
        <f t="shared" si="82"/>
        <v xml:space="preserve"> Not used for reporting </v>
      </c>
      <c r="AH159" t="str">
        <f t="shared" si="83"/>
        <v xml:space="preserve"> 8.0% </v>
      </c>
      <c r="AI159" t="s">
        <v>400</v>
      </c>
      <c r="AK159" t="str">
        <f t="shared" si="84"/>
        <v xml:space="preserve"> Not used for reporting </v>
      </c>
      <c r="AL159" t="str">
        <f t="shared" si="85"/>
        <v xml:space="preserve"> 15.0% </v>
      </c>
      <c r="AM159" t="s">
        <v>400</v>
      </c>
      <c r="AN159" t="s">
        <v>0</v>
      </c>
      <c r="AO159" t="str">
        <f t="shared" si="86"/>
        <v xml:space="preserve"> 15.0% </v>
      </c>
      <c r="AP159" t="s">
        <v>832</v>
      </c>
      <c r="AQ159" t="str">
        <f t="shared" si="87"/>
        <v xml:space="preserve"> Not used for reporting </v>
      </c>
      <c r="AR159" t="str">
        <f t="shared" si="88"/>
        <v xml:space="preserve"> 30.0% </v>
      </c>
      <c r="AS159" t="s">
        <v>906</v>
      </c>
      <c r="AT159" t="str">
        <f t="shared" si="89"/>
        <v xml:space="preserve"> Not used for reporting </v>
      </c>
      <c r="AU159" t="str">
        <f t="shared" si="90"/>
        <v xml:space="preserve"> 6.0% </v>
      </c>
      <c r="AV159" t="s">
        <v>1214</v>
      </c>
      <c r="AW159" t="str">
        <f t="shared" si="91"/>
        <v>Not used for reporting</v>
      </c>
      <c r="AX159" t="str">
        <f t="shared" si="92"/>
        <v xml:space="preserve"> 8.0% </v>
      </c>
    </row>
    <row r="160" spans="1:50" x14ac:dyDescent="0.45">
      <c r="A160" t="s">
        <v>65</v>
      </c>
      <c r="B160" t="str">
        <f t="shared" si="62"/>
        <v xml:space="preserve"> Other </v>
      </c>
      <c r="C160" t="str">
        <f t="shared" si="63"/>
        <v xml:space="preserve"> 2.0% </v>
      </c>
      <c r="D160" t="s">
        <v>297</v>
      </c>
      <c r="E160" t="str">
        <f t="shared" si="64"/>
        <v xml:space="preserve"> Other </v>
      </c>
      <c r="F160" t="str">
        <f t="shared" si="65"/>
        <v xml:space="preserve"> 4.0% </v>
      </c>
      <c r="G160" t="s">
        <v>76</v>
      </c>
      <c r="H160" t="str">
        <f t="shared" si="66"/>
        <v xml:space="preserve"> Other </v>
      </c>
      <c r="I160" t="str">
        <f t="shared" si="67"/>
        <v xml:space="preserve"> 5.0% </v>
      </c>
      <c r="J160" t="s">
        <v>76</v>
      </c>
      <c r="K160" t="str">
        <f t="shared" si="68"/>
        <v xml:space="preserve"> Other </v>
      </c>
      <c r="L160" t="str">
        <f t="shared" si="69"/>
        <v xml:space="preserve"> 5.0% </v>
      </c>
      <c r="M160" t="s">
        <v>297</v>
      </c>
      <c r="N160" t="str">
        <f t="shared" si="70"/>
        <v xml:space="preserve"> Other </v>
      </c>
      <c r="O160" t="str">
        <f t="shared" si="71"/>
        <v xml:space="preserve"> 4.0% </v>
      </c>
      <c r="P160" t="s">
        <v>297</v>
      </c>
      <c r="Q160" t="str">
        <f t="shared" si="72"/>
        <v xml:space="preserve"> Other </v>
      </c>
      <c r="R160" t="str">
        <f t="shared" si="73"/>
        <v xml:space="preserve"> 4.0% </v>
      </c>
      <c r="S160" t="s">
        <v>233</v>
      </c>
      <c r="T160" t="str">
        <f t="shared" si="74"/>
        <v xml:space="preserve"> Other </v>
      </c>
      <c r="U160" t="str">
        <f t="shared" si="75"/>
        <v xml:space="preserve"> 6.0% </v>
      </c>
      <c r="V160" t="s">
        <v>76</v>
      </c>
      <c r="W160" t="str">
        <f t="shared" si="76"/>
        <v xml:space="preserve"> Other </v>
      </c>
      <c r="X160" t="str">
        <f t="shared" si="77"/>
        <v xml:space="preserve"> 5.0% </v>
      </c>
      <c r="Y160" t="s">
        <v>76</v>
      </c>
      <c r="Z160" t="str">
        <f t="shared" si="78"/>
        <v xml:space="preserve"> Other </v>
      </c>
      <c r="AA160" t="str">
        <f t="shared" si="79"/>
        <v xml:space="preserve"> 5.0% </v>
      </c>
      <c r="AB160" t="s">
        <v>96</v>
      </c>
      <c r="AC160" t="str">
        <f t="shared" si="80"/>
        <v xml:space="preserve"> Other </v>
      </c>
      <c r="AD160" t="str">
        <f t="shared" si="81"/>
        <v xml:space="preserve"> 10.0% </v>
      </c>
      <c r="AF160" t="s">
        <v>483</v>
      </c>
      <c r="AG160" t="str">
        <f t="shared" si="82"/>
        <v xml:space="preserve"> Other </v>
      </c>
      <c r="AH160" t="str">
        <f t="shared" si="83"/>
        <v xml:space="preserve"> 3.0% </v>
      </c>
      <c r="AI160" t="s">
        <v>483</v>
      </c>
      <c r="AK160" t="str">
        <f t="shared" si="84"/>
        <v xml:space="preserve"> Other </v>
      </c>
      <c r="AL160" t="str">
        <f t="shared" si="85"/>
        <v xml:space="preserve"> 3.0% </v>
      </c>
      <c r="AM160" t="s">
        <v>65</v>
      </c>
      <c r="AN160" t="s">
        <v>0</v>
      </c>
      <c r="AO160" t="str">
        <f t="shared" si="86"/>
        <v xml:space="preserve"> 2.0% </v>
      </c>
      <c r="AP160" t="s">
        <v>275</v>
      </c>
      <c r="AQ160" t="str">
        <f t="shared" si="87"/>
        <v xml:space="preserve"> Other </v>
      </c>
      <c r="AR160" t="str">
        <f t="shared" si="88"/>
        <v xml:space="preserve"> 8.0% </v>
      </c>
      <c r="AS160" t="s">
        <v>297</v>
      </c>
      <c r="AT160" t="str">
        <f t="shared" si="89"/>
        <v xml:space="preserve"> Other </v>
      </c>
      <c r="AU160" t="str">
        <f t="shared" si="90"/>
        <v xml:space="preserve"> 4.0% </v>
      </c>
      <c r="AV160" t="s">
        <v>1154</v>
      </c>
      <c r="AW160" t="str">
        <f t="shared" si="91"/>
        <v>Other</v>
      </c>
      <c r="AX160" t="str">
        <f t="shared" si="92"/>
        <v xml:space="preserve"> 10.0% </v>
      </c>
    </row>
    <row r="161" spans="1:50" x14ac:dyDescent="0.45">
      <c r="A161" t="s">
        <v>47</v>
      </c>
      <c r="B161" t="str">
        <f t="shared" si="62"/>
        <v/>
      </c>
      <c r="C161" t="str">
        <f t="shared" si="63"/>
        <v/>
      </c>
      <c r="D161" t="s">
        <v>216</v>
      </c>
      <c r="E161" t="str">
        <f t="shared" si="64"/>
        <v/>
      </c>
      <c r="F161" t="str">
        <f t="shared" si="65"/>
        <v/>
      </c>
      <c r="G161" t="s">
        <v>47</v>
      </c>
      <c r="H161" t="str">
        <f t="shared" si="66"/>
        <v/>
      </c>
      <c r="I161" t="str">
        <f t="shared" si="67"/>
        <v/>
      </c>
      <c r="J161" t="s">
        <v>47</v>
      </c>
      <c r="K161" t="str">
        <f t="shared" si="68"/>
        <v/>
      </c>
      <c r="L161" t="str">
        <f t="shared" si="69"/>
        <v/>
      </c>
      <c r="M161" t="s">
        <v>47</v>
      </c>
      <c r="N161" t="str">
        <f t="shared" si="70"/>
        <v/>
      </c>
      <c r="O161" t="str">
        <f t="shared" si="71"/>
        <v/>
      </c>
      <c r="P161" t="s">
        <v>47</v>
      </c>
      <c r="Q161" t="str">
        <f t="shared" si="72"/>
        <v/>
      </c>
      <c r="R161" t="str">
        <f t="shared" si="73"/>
        <v/>
      </c>
      <c r="S161" t="s">
        <v>47</v>
      </c>
      <c r="T161" t="str">
        <f t="shared" si="74"/>
        <v/>
      </c>
      <c r="U161" t="str">
        <f t="shared" si="75"/>
        <v/>
      </c>
      <c r="V161" t="s">
        <v>47</v>
      </c>
      <c r="W161" t="str">
        <f t="shared" si="76"/>
        <v/>
      </c>
      <c r="X161" t="str">
        <f t="shared" si="77"/>
        <v/>
      </c>
      <c r="Y161" t="s">
        <v>47</v>
      </c>
      <c r="Z161" t="str">
        <f t="shared" si="78"/>
        <v/>
      </c>
      <c r="AA161" t="str">
        <f t="shared" si="79"/>
        <v/>
      </c>
      <c r="AB161" t="s">
        <v>47</v>
      </c>
      <c r="AC161" t="str">
        <f t="shared" si="80"/>
        <v/>
      </c>
      <c r="AD161" t="str">
        <f t="shared" si="81"/>
        <v/>
      </c>
      <c r="AF161" t="s">
        <v>47</v>
      </c>
      <c r="AG161" t="str">
        <f t="shared" si="82"/>
        <v/>
      </c>
      <c r="AH161" t="str">
        <f t="shared" si="83"/>
        <v/>
      </c>
      <c r="AI161" t="s">
        <v>47</v>
      </c>
      <c r="AK161" t="str">
        <f t="shared" si="84"/>
        <v/>
      </c>
      <c r="AL161" t="str">
        <f t="shared" si="85"/>
        <v/>
      </c>
      <c r="AM161" t="s">
        <v>47</v>
      </c>
      <c r="AN161" t="s">
        <v>0</v>
      </c>
      <c r="AO161" t="str">
        <f t="shared" si="86"/>
        <v/>
      </c>
      <c r="AP161" t="s">
        <v>47</v>
      </c>
      <c r="AQ161" t="str">
        <f t="shared" si="87"/>
        <v/>
      </c>
      <c r="AR161" t="str">
        <f t="shared" si="88"/>
        <v/>
      </c>
      <c r="AS161" t="s">
        <v>47</v>
      </c>
      <c r="AT161" t="str">
        <f t="shared" si="89"/>
        <v/>
      </c>
      <c r="AU161" t="str">
        <f t="shared" si="90"/>
        <v/>
      </c>
      <c r="AV161" t="s">
        <v>1124</v>
      </c>
      <c r="AW161" t="str">
        <f t="shared" si="91"/>
        <v/>
      </c>
      <c r="AX161" t="str">
        <f t="shared" si="92"/>
        <v/>
      </c>
    </row>
    <row r="162" spans="1:50" x14ac:dyDescent="0.45">
      <c r="A162" t="s">
        <v>135</v>
      </c>
      <c r="B162" t="str">
        <f t="shared" si="62"/>
        <v xml:space="preserve"> Automated reports </v>
      </c>
      <c r="C162" t="str">
        <f t="shared" si="63"/>
        <v xml:space="preserve"> 55.0% </v>
      </c>
      <c r="D162" t="s">
        <v>298</v>
      </c>
      <c r="E162" t="str">
        <f t="shared" si="64"/>
        <v xml:space="preserve"> Automated reports </v>
      </c>
      <c r="F162" t="str">
        <f t="shared" si="65"/>
        <v xml:space="preserve"> 50.0% </v>
      </c>
      <c r="G162" t="s">
        <v>393</v>
      </c>
      <c r="H162" t="str">
        <f t="shared" si="66"/>
        <v xml:space="preserve"> Automated reports </v>
      </c>
      <c r="I162" t="str">
        <f t="shared" si="67"/>
        <v xml:space="preserve"> 45.0% </v>
      </c>
      <c r="J162" t="s">
        <v>393</v>
      </c>
      <c r="K162" t="str">
        <f t="shared" si="68"/>
        <v xml:space="preserve"> Automated reports </v>
      </c>
      <c r="L162" t="str">
        <f t="shared" si="69"/>
        <v xml:space="preserve"> 45.0% </v>
      </c>
      <c r="M162" t="s">
        <v>508</v>
      </c>
      <c r="N162" t="str">
        <f t="shared" si="70"/>
        <v xml:space="preserve"> Automated reports </v>
      </c>
      <c r="O162" t="str">
        <f t="shared" si="71"/>
        <v xml:space="preserve"> 42.0% </v>
      </c>
      <c r="P162" t="s">
        <v>298</v>
      </c>
      <c r="Q162" t="str">
        <f t="shared" si="72"/>
        <v xml:space="preserve"> Automated reports </v>
      </c>
      <c r="R162" t="str">
        <f t="shared" si="73"/>
        <v xml:space="preserve"> 50.0% </v>
      </c>
      <c r="S162" t="s">
        <v>298</v>
      </c>
      <c r="T162" t="str">
        <f t="shared" si="74"/>
        <v xml:space="preserve"> Automated reports </v>
      </c>
      <c r="U162" t="str">
        <f t="shared" si="75"/>
        <v xml:space="preserve"> 50.0% </v>
      </c>
      <c r="V162" t="s">
        <v>761</v>
      </c>
      <c r="W162" t="str">
        <f t="shared" si="76"/>
        <v xml:space="preserve"> Automated reports </v>
      </c>
      <c r="X162" t="str">
        <f t="shared" si="77"/>
        <v xml:space="preserve"> 75.0% </v>
      </c>
      <c r="Y162" t="s">
        <v>393</v>
      </c>
      <c r="Z162" t="str">
        <f t="shared" si="78"/>
        <v xml:space="preserve"> Automated reports </v>
      </c>
      <c r="AA162" t="str">
        <f t="shared" si="79"/>
        <v xml:space="preserve"> 45.0% </v>
      </c>
      <c r="AB162" t="s">
        <v>393</v>
      </c>
      <c r="AC162" t="str">
        <f t="shared" si="80"/>
        <v xml:space="preserve"> Automated reports </v>
      </c>
      <c r="AD162" t="str">
        <f t="shared" si="81"/>
        <v xml:space="preserve"> 45.0% </v>
      </c>
      <c r="AF162" t="s">
        <v>292</v>
      </c>
      <c r="AG162" t="str">
        <f t="shared" si="82"/>
        <v xml:space="preserve"> Automated reports </v>
      </c>
      <c r="AH162" t="str">
        <f t="shared" si="83"/>
        <v xml:space="preserve"> 52.0% </v>
      </c>
      <c r="AI162" t="s">
        <v>935</v>
      </c>
      <c r="AK162" t="str">
        <f t="shared" si="84"/>
        <v xml:space="preserve"> Automated reports </v>
      </c>
      <c r="AL162" t="str">
        <f t="shared" si="85"/>
        <v xml:space="preserve"> 60.0% </v>
      </c>
      <c r="AM162" t="s">
        <v>935</v>
      </c>
      <c r="AN162" t="s">
        <v>0</v>
      </c>
      <c r="AO162" t="str">
        <f t="shared" si="86"/>
        <v xml:space="preserve"> 60.0% </v>
      </c>
      <c r="AP162" t="s">
        <v>1019</v>
      </c>
      <c r="AQ162" t="str">
        <f t="shared" si="87"/>
        <v xml:space="preserve"> Automated reports </v>
      </c>
      <c r="AR162" t="str">
        <f t="shared" si="88"/>
        <v xml:space="preserve"> 32.0% </v>
      </c>
      <c r="AS162" t="s">
        <v>298</v>
      </c>
      <c r="AT162" t="str">
        <f t="shared" si="89"/>
        <v xml:space="preserve"> Automated reports </v>
      </c>
      <c r="AU162" t="str">
        <f t="shared" si="90"/>
        <v xml:space="preserve"> 50.0% </v>
      </c>
      <c r="AV162" t="s">
        <v>1215</v>
      </c>
      <c r="AW162" t="str">
        <f t="shared" si="91"/>
        <v>Automated reports</v>
      </c>
      <c r="AX162" t="str">
        <f t="shared" si="92"/>
        <v xml:space="preserve"> 60.0% </v>
      </c>
    </row>
    <row r="163" spans="1:50" x14ac:dyDescent="0.45">
      <c r="A163" t="s">
        <v>136</v>
      </c>
      <c r="B163" t="str">
        <f t="shared" si="62"/>
        <v xml:space="preserve"> Dashboards &amp; visualization </v>
      </c>
      <c r="C163" t="str">
        <f t="shared" si="63"/>
        <v xml:space="preserve"> 60.0% </v>
      </c>
      <c r="D163" t="s">
        <v>136</v>
      </c>
      <c r="E163" t="str">
        <f t="shared" si="64"/>
        <v xml:space="preserve"> Dashboards &amp; visualization </v>
      </c>
      <c r="F163" t="str">
        <f t="shared" si="65"/>
        <v xml:space="preserve"> 60.0% </v>
      </c>
      <c r="G163" t="s">
        <v>394</v>
      </c>
      <c r="H163" t="str">
        <f t="shared" si="66"/>
        <v xml:space="preserve"> Dashboards &amp; visualization </v>
      </c>
      <c r="I163" t="str">
        <f t="shared" si="67"/>
        <v xml:space="preserve"> 55.0% </v>
      </c>
      <c r="J163" t="s">
        <v>394</v>
      </c>
      <c r="K163" t="str">
        <f t="shared" si="68"/>
        <v xml:space="preserve"> Dashboards &amp; visualization </v>
      </c>
      <c r="L163" t="str">
        <f t="shared" si="69"/>
        <v xml:space="preserve"> 55.0% </v>
      </c>
      <c r="M163" t="s">
        <v>509</v>
      </c>
      <c r="N163" t="str">
        <f t="shared" si="70"/>
        <v xml:space="preserve"> Dashboards &amp; visualization </v>
      </c>
      <c r="O163" t="str">
        <f t="shared" si="71"/>
        <v xml:space="preserve"> 51.0% </v>
      </c>
      <c r="P163" t="s">
        <v>136</v>
      </c>
      <c r="Q163" t="str">
        <f t="shared" si="72"/>
        <v xml:space="preserve"> Dashboards &amp; visualization </v>
      </c>
      <c r="R163" t="str">
        <f t="shared" si="73"/>
        <v xml:space="preserve"> 60.0% </v>
      </c>
      <c r="S163" t="s">
        <v>706</v>
      </c>
      <c r="T163" t="str">
        <f t="shared" si="74"/>
        <v xml:space="preserve"> Dashboards &amp; visualization </v>
      </c>
      <c r="U163" t="str">
        <f t="shared" si="75"/>
        <v xml:space="preserve"> 48.0% </v>
      </c>
      <c r="V163" t="s">
        <v>762</v>
      </c>
      <c r="W163" t="str">
        <f t="shared" si="76"/>
        <v xml:space="preserve"> Dashboards &amp; visualization </v>
      </c>
      <c r="X163" t="str">
        <f t="shared" si="77"/>
        <v xml:space="preserve"> 85.0% </v>
      </c>
      <c r="Y163" t="s">
        <v>641</v>
      </c>
      <c r="Z163" t="str">
        <f t="shared" si="78"/>
        <v xml:space="preserve"> Dashboards &amp; visualization </v>
      </c>
      <c r="AA163" t="str">
        <f t="shared" si="79"/>
        <v xml:space="preserve"> 65.0% </v>
      </c>
      <c r="AB163" t="s">
        <v>641</v>
      </c>
      <c r="AC163" t="str">
        <f t="shared" si="80"/>
        <v xml:space="preserve"> Dashboards &amp; visualization </v>
      </c>
      <c r="AD163" t="str">
        <f t="shared" si="81"/>
        <v xml:space="preserve"> 65.0% </v>
      </c>
      <c r="AF163" t="s">
        <v>902</v>
      </c>
      <c r="AG163" t="str">
        <f t="shared" si="82"/>
        <v xml:space="preserve"> Dashboards &amp; visualization </v>
      </c>
      <c r="AH163" t="str">
        <f t="shared" si="83"/>
        <v xml:space="preserve"> 62.0% </v>
      </c>
      <c r="AI163" t="s">
        <v>130</v>
      </c>
      <c r="AK163" t="str">
        <f t="shared" si="84"/>
        <v xml:space="preserve"> Dashboards &amp; visualization </v>
      </c>
      <c r="AL163" t="str">
        <f t="shared" si="85"/>
        <v xml:space="preserve"> 70.0% </v>
      </c>
      <c r="AM163" t="s">
        <v>142</v>
      </c>
      <c r="AN163" t="s">
        <v>0</v>
      </c>
      <c r="AO163" t="str">
        <f t="shared" si="86"/>
        <v xml:space="preserve"> 75.0% </v>
      </c>
      <c r="AP163" t="s">
        <v>706</v>
      </c>
      <c r="AQ163" t="str">
        <f t="shared" si="87"/>
        <v xml:space="preserve"> Dashboards &amp; visualization </v>
      </c>
      <c r="AR163" t="str">
        <f t="shared" si="88"/>
        <v xml:space="preserve"> 48.0% </v>
      </c>
      <c r="AS163" t="s">
        <v>1068</v>
      </c>
      <c r="AT163" t="str">
        <f t="shared" si="89"/>
        <v xml:space="preserve"> Dashboards &amp; visualization </v>
      </c>
      <c r="AU163" t="str">
        <f t="shared" si="90"/>
        <v xml:space="preserve"> 68.0% </v>
      </c>
      <c r="AV163" t="s">
        <v>1216</v>
      </c>
      <c r="AW163" t="str">
        <f t="shared" si="91"/>
        <v>Dashboards &amp; visualization</v>
      </c>
      <c r="AX163" t="str">
        <f t="shared" si="92"/>
        <v xml:space="preserve"> 65.0% </v>
      </c>
    </row>
    <row r="164" spans="1:50" x14ac:dyDescent="0.45">
      <c r="A164" t="s">
        <v>137</v>
      </c>
      <c r="B164" t="str">
        <f t="shared" si="62"/>
        <v xml:space="preserve"> Predictive insights </v>
      </c>
      <c r="C164" t="str">
        <f t="shared" si="63"/>
        <v xml:space="preserve"> 75.0% </v>
      </c>
      <c r="D164" t="s">
        <v>299</v>
      </c>
      <c r="E164" t="str">
        <f t="shared" si="64"/>
        <v xml:space="preserve"> Predictive insights </v>
      </c>
      <c r="F164" t="str">
        <f t="shared" si="65"/>
        <v xml:space="preserve"> 48.0% </v>
      </c>
      <c r="G164" t="s">
        <v>143</v>
      </c>
      <c r="H164" t="str">
        <f t="shared" si="66"/>
        <v xml:space="preserve"> Predictive insights </v>
      </c>
      <c r="I164" t="str">
        <f t="shared" si="67"/>
        <v xml:space="preserve"> 40.0% </v>
      </c>
      <c r="J164" t="s">
        <v>395</v>
      </c>
      <c r="K164" t="str">
        <f t="shared" si="68"/>
        <v xml:space="preserve"> Predictive insights </v>
      </c>
      <c r="L164" t="str">
        <f t="shared" si="69"/>
        <v xml:space="preserve"> 50.0% </v>
      </c>
      <c r="M164" t="s">
        <v>510</v>
      </c>
      <c r="N164" t="str">
        <f t="shared" si="70"/>
        <v xml:space="preserve"> Predictive insights </v>
      </c>
      <c r="O164" t="str">
        <f t="shared" si="71"/>
        <v xml:space="preserve"> 49.0% </v>
      </c>
      <c r="P164" t="s">
        <v>643</v>
      </c>
      <c r="Q164" t="str">
        <f t="shared" si="72"/>
        <v xml:space="preserve"> Predictive insights </v>
      </c>
      <c r="R164" t="str">
        <f t="shared" si="73"/>
        <v xml:space="preserve"> 55.0% </v>
      </c>
      <c r="S164" t="s">
        <v>707</v>
      </c>
      <c r="T164" t="str">
        <f t="shared" si="74"/>
        <v xml:space="preserve"> Predictive insights </v>
      </c>
      <c r="U164" t="str">
        <f t="shared" si="75"/>
        <v xml:space="preserve"> 58.0% </v>
      </c>
      <c r="V164" t="s">
        <v>763</v>
      </c>
      <c r="W164" t="str">
        <f t="shared" si="76"/>
        <v xml:space="preserve"> Predictive insights </v>
      </c>
      <c r="X164" t="str">
        <f t="shared" si="77"/>
        <v xml:space="preserve"> 70.0% </v>
      </c>
      <c r="Y164" t="s">
        <v>395</v>
      </c>
      <c r="Z164" t="str">
        <f t="shared" si="78"/>
        <v xml:space="preserve"> Predictive insights </v>
      </c>
      <c r="AA164" t="str">
        <f t="shared" si="79"/>
        <v xml:space="preserve"> 50.0% </v>
      </c>
      <c r="AB164" t="s">
        <v>643</v>
      </c>
      <c r="AC164" t="str">
        <f t="shared" si="80"/>
        <v xml:space="preserve"> Predictive insights </v>
      </c>
      <c r="AD164" t="str">
        <f t="shared" si="81"/>
        <v xml:space="preserve"> 55.0% </v>
      </c>
      <c r="AF164" t="s">
        <v>903</v>
      </c>
      <c r="AG164" t="str">
        <f t="shared" si="82"/>
        <v xml:space="preserve"> Predictive insights </v>
      </c>
      <c r="AH164" t="str">
        <f t="shared" si="83"/>
        <v xml:space="preserve"> 56.0% </v>
      </c>
      <c r="AI164" t="s">
        <v>143</v>
      </c>
      <c r="AK164" t="str">
        <f t="shared" si="84"/>
        <v xml:space="preserve"> Predictive insights </v>
      </c>
      <c r="AL164" t="str">
        <f t="shared" si="85"/>
        <v xml:space="preserve"> 40.0% </v>
      </c>
      <c r="AM164" t="s">
        <v>936</v>
      </c>
      <c r="AN164" t="s">
        <v>0</v>
      </c>
      <c r="AO164" t="str">
        <f t="shared" si="86"/>
        <v xml:space="preserve"> 65.0% </v>
      </c>
      <c r="AP164" t="s">
        <v>1020</v>
      </c>
      <c r="AQ164" t="str">
        <f t="shared" si="87"/>
        <v xml:space="preserve"> Predictive insights </v>
      </c>
      <c r="AR164" t="str">
        <f t="shared" si="88"/>
        <v xml:space="preserve"> 42.0% </v>
      </c>
      <c r="AS164" t="s">
        <v>936</v>
      </c>
      <c r="AT164" t="str">
        <f t="shared" si="89"/>
        <v xml:space="preserve"> Predictive insights </v>
      </c>
      <c r="AU164" t="str">
        <f t="shared" si="90"/>
        <v xml:space="preserve"> 65.0% </v>
      </c>
      <c r="AV164" t="s">
        <v>1217</v>
      </c>
      <c r="AW164" t="str">
        <f t="shared" si="91"/>
        <v>Predictive insights</v>
      </c>
      <c r="AX164" t="str">
        <f t="shared" si="92"/>
        <v xml:space="preserve"> 55.0% </v>
      </c>
    </row>
    <row r="165" spans="1:50" x14ac:dyDescent="0.45">
      <c r="A165" t="s">
        <v>138</v>
      </c>
      <c r="B165" t="str">
        <f t="shared" si="62"/>
        <v xml:space="preserve"> Root cause analysis </v>
      </c>
      <c r="C165" t="str">
        <f t="shared" si="63"/>
        <v xml:space="preserve"> 65.0% </v>
      </c>
      <c r="D165" t="s">
        <v>300</v>
      </c>
      <c r="E165" t="str">
        <f t="shared" si="64"/>
        <v xml:space="preserve"> Root cause analysis </v>
      </c>
      <c r="F165" t="str">
        <f t="shared" si="65"/>
        <v xml:space="preserve"> 46.0% </v>
      </c>
      <c r="G165" t="s">
        <v>581</v>
      </c>
      <c r="H165" t="str">
        <f t="shared" si="66"/>
        <v xml:space="preserve"> Root cause analysis </v>
      </c>
      <c r="I165" t="str">
        <f t="shared" si="67"/>
        <v xml:space="preserve"> 35.0% </v>
      </c>
      <c r="J165" t="s">
        <v>396</v>
      </c>
      <c r="K165" t="str">
        <f t="shared" si="68"/>
        <v xml:space="preserve"> Root cause analysis </v>
      </c>
      <c r="L165" t="str">
        <f t="shared" si="69"/>
        <v xml:space="preserve"> 40.0% </v>
      </c>
      <c r="M165" t="s">
        <v>306</v>
      </c>
      <c r="N165" t="str">
        <f t="shared" si="70"/>
        <v xml:space="preserve"> Root cause analysis </v>
      </c>
      <c r="O165" t="str">
        <f t="shared" si="71"/>
        <v xml:space="preserve"> 34.0% </v>
      </c>
      <c r="P165" t="s">
        <v>144</v>
      </c>
      <c r="Q165" t="str">
        <f t="shared" si="72"/>
        <v xml:space="preserve"> Root cause analysis </v>
      </c>
      <c r="R165" t="str">
        <f t="shared" si="73"/>
        <v xml:space="preserve"> 45.0% </v>
      </c>
      <c r="S165" t="s">
        <v>144</v>
      </c>
      <c r="T165" t="str">
        <f t="shared" si="74"/>
        <v xml:space="preserve"> Root cause analysis </v>
      </c>
      <c r="U165" t="str">
        <f t="shared" si="75"/>
        <v xml:space="preserve"> 45.0% </v>
      </c>
      <c r="V165" t="s">
        <v>764</v>
      </c>
      <c r="W165" t="str">
        <f t="shared" si="76"/>
        <v xml:space="preserve"> Root cause analysis </v>
      </c>
      <c r="X165" t="str">
        <f t="shared" si="77"/>
        <v xml:space="preserve"> 70.0% </v>
      </c>
      <c r="Y165" t="s">
        <v>144</v>
      </c>
      <c r="Z165" t="str">
        <f t="shared" si="78"/>
        <v xml:space="preserve"> Root cause analysis </v>
      </c>
      <c r="AA165" t="str">
        <f t="shared" si="79"/>
        <v xml:space="preserve"> 45.0% </v>
      </c>
      <c r="AB165" t="s">
        <v>642</v>
      </c>
      <c r="AC165" t="str">
        <f t="shared" si="80"/>
        <v xml:space="preserve"> Root cause analysis </v>
      </c>
      <c r="AD165" t="str">
        <f t="shared" si="81"/>
        <v xml:space="preserve"> 50.0% </v>
      </c>
      <c r="AF165" t="s">
        <v>904</v>
      </c>
      <c r="AG165" t="str">
        <f t="shared" si="82"/>
        <v xml:space="preserve"> Root cause analysis </v>
      </c>
      <c r="AH165" t="str">
        <f t="shared" si="83"/>
        <v xml:space="preserve"> 48.0% </v>
      </c>
      <c r="AI165" t="s">
        <v>642</v>
      </c>
      <c r="AK165" t="str">
        <f t="shared" si="84"/>
        <v xml:space="preserve"> Root cause analysis </v>
      </c>
      <c r="AL165" t="str">
        <f t="shared" si="85"/>
        <v xml:space="preserve"> 50.0% </v>
      </c>
      <c r="AM165" t="s">
        <v>764</v>
      </c>
      <c r="AN165" t="s">
        <v>0</v>
      </c>
      <c r="AO165" t="str">
        <f t="shared" si="86"/>
        <v xml:space="preserve"> 70.0% </v>
      </c>
      <c r="AP165" t="s">
        <v>1021</v>
      </c>
      <c r="AQ165" t="str">
        <f t="shared" si="87"/>
        <v xml:space="preserve"> Root cause analysis </v>
      </c>
      <c r="AR165" t="str">
        <f t="shared" si="88"/>
        <v xml:space="preserve"> 28.0% </v>
      </c>
      <c r="AS165" t="s">
        <v>132</v>
      </c>
      <c r="AT165" t="str">
        <f t="shared" si="89"/>
        <v xml:space="preserve"> Root cause analysis </v>
      </c>
      <c r="AU165" t="str">
        <f t="shared" si="90"/>
        <v xml:space="preserve"> 55.0% </v>
      </c>
      <c r="AV165" t="s">
        <v>1218</v>
      </c>
      <c r="AW165" t="str">
        <f t="shared" si="91"/>
        <v>Root cause analysis</v>
      </c>
      <c r="AX165" t="str">
        <f t="shared" si="92"/>
        <v xml:space="preserve"> 50.0% </v>
      </c>
    </row>
    <row r="166" spans="1:50" x14ac:dyDescent="0.45">
      <c r="A166" t="s">
        <v>139</v>
      </c>
      <c r="B166" t="str">
        <f t="shared" si="62"/>
        <v xml:space="preserve"> Executive summaries </v>
      </c>
      <c r="C166" t="str">
        <f t="shared" si="63"/>
        <v xml:space="preserve"> 35.0% </v>
      </c>
      <c r="D166" t="s">
        <v>301</v>
      </c>
      <c r="E166" t="str">
        <f t="shared" si="64"/>
        <v xml:space="preserve"> Executive summaries </v>
      </c>
      <c r="F166" t="str">
        <f t="shared" si="65"/>
        <v xml:space="preserve"> 26.0% </v>
      </c>
      <c r="G166" t="s">
        <v>582</v>
      </c>
      <c r="H166" t="str">
        <f t="shared" si="66"/>
        <v xml:space="preserve"> Executive summaries </v>
      </c>
      <c r="I166" t="str">
        <f t="shared" si="67"/>
        <v xml:space="preserve"> 22.0% </v>
      </c>
      <c r="J166" t="s">
        <v>397</v>
      </c>
      <c r="K166" t="str">
        <f t="shared" si="68"/>
        <v xml:space="preserve"> Executive summaries </v>
      </c>
      <c r="L166" t="str">
        <f t="shared" si="69"/>
        <v xml:space="preserve"> 25.0% </v>
      </c>
      <c r="M166" t="s">
        <v>511</v>
      </c>
      <c r="N166" t="str">
        <f t="shared" si="70"/>
        <v xml:space="preserve"> Executive summaries </v>
      </c>
      <c r="O166" t="str">
        <f t="shared" si="71"/>
        <v xml:space="preserve"> 17.0% </v>
      </c>
      <c r="P166" t="s">
        <v>397</v>
      </c>
      <c r="Q166" t="str">
        <f t="shared" si="72"/>
        <v xml:space="preserve"> Executive summaries </v>
      </c>
      <c r="R166" t="str">
        <f t="shared" si="73"/>
        <v xml:space="preserve"> 25.0% </v>
      </c>
      <c r="S166" t="s">
        <v>582</v>
      </c>
      <c r="T166" t="str">
        <f t="shared" si="74"/>
        <v xml:space="preserve"> Executive summaries </v>
      </c>
      <c r="U166" t="str">
        <f t="shared" si="75"/>
        <v xml:space="preserve"> 22.0% </v>
      </c>
      <c r="V166" t="s">
        <v>765</v>
      </c>
      <c r="W166" t="str">
        <f t="shared" si="76"/>
        <v xml:space="preserve"> Executive summaries </v>
      </c>
      <c r="X166" t="str">
        <f t="shared" si="77"/>
        <v xml:space="preserve"> 45.0% </v>
      </c>
      <c r="Y166" t="s">
        <v>133</v>
      </c>
      <c r="Z166" t="str">
        <f t="shared" si="78"/>
        <v xml:space="preserve"> Executive summaries </v>
      </c>
      <c r="AA166" t="str">
        <f t="shared" si="79"/>
        <v xml:space="preserve"> 30.0% </v>
      </c>
      <c r="AB166" t="s">
        <v>145</v>
      </c>
      <c r="AC166" t="str">
        <f t="shared" si="80"/>
        <v xml:space="preserve"> Executive summaries </v>
      </c>
      <c r="AD166" t="str">
        <f t="shared" si="81"/>
        <v xml:space="preserve"> 40.0% </v>
      </c>
      <c r="AF166" t="s">
        <v>905</v>
      </c>
      <c r="AG166" t="str">
        <f t="shared" si="82"/>
        <v xml:space="preserve"> Executive summaries </v>
      </c>
      <c r="AH166" t="str">
        <f t="shared" si="83"/>
        <v xml:space="preserve"> 42.0% </v>
      </c>
      <c r="AI166" t="s">
        <v>133</v>
      </c>
      <c r="AK166" t="str">
        <f t="shared" si="84"/>
        <v xml:space="preserve"> Executive summaries </v>
      </c>
      <c r="AL166" t="str">
        <f t="shared" si="85"/>
        <v xml:space="preserve"> 30.0% </v>
      </c>
      <c r="AM166" t="s">
        <v>145</v>
      </c>
      <c r="AN166" t="s">
        <v>0</v>
      </c>
      <c r="AO166" t="str">
        <f t="shared" si="86"/>
        <v xml:space="preserve"> 40.0% </v>
      </c>
      <c r="AP166" t="s">
        <v>1022</v>
      </c>
      <c r="AQ166" t="str">
        <f t="shared" si="87"/>
        <v xml:space="preserve"> Executive summaries </v>
      </c>
      <c r="AR166" t="str">
        <f t="shared" si="88"/>
        <v xml:space="preserve"> 18.0% </v>
      </c>
      <c r="AS166" t="s">
        <v>397</v>
      </c>
      <c r="AT166" t="str">
        <f t="shared" si="89"/>
        <v xml:space="preserve"> Executive summaries </v>
      </c>
      <c r="AU166" t="str">
        <f t="shared" si="90"/>
        <v xml:space="preserve"> 25.0% </v>
      </c>
      <c r="AV166" t="s">
        <v>1213</v>
      </c>
      <c r="AW166" t="str">
        <f t="shared" si="91"/>
        <v>Executive summaries</v>
      </c>
      <c r="AX166" t="str">
        <f t="shared" si="92"/>
        <v xml:space="preserve"> 40.0% </v>
      </c>
    </row>
    <row r="167" spans="1:50" x14ac:dyDescent="0.45">
      <c r="A167" t="s">
        <v>140</v>
      </c>
      <c r="B167" t="str">
        <f t="shared" si="62"/>
        <v xml:space="preserve"> Not used for reporting </v>
      </c>
      <c r="C167" t="str">
        <f t="shared" si="63"/>
        <v xml:space="preserve"> 5.0% </v>
      </c>
      <c r="D167" t="s">
        <v>302</v>
      </c>
      <c r="E167" t="str">
        <f t="shared" si="64"/>
        <v xml:space="preserve"> Not used for reporting </v>
      </c>
      <c r="F167" t="str">
        <f t="shared" si="65"/>
        <v xml:space="preserve"> 8.0% </v>
      </c>
      <c r="G167" t="s">
        <v>146</v>
      </c>
      <c r="H167" t="str">
        <f t="shared" si="66"/>
        <v xml:space="preserve"> Not used for reporting </v>
      </c>
      <c r="I167" t="str">
        <f t="shared" si="67"/>
        <v xml:space="preserve"> 12.0% </v>
      </c>
      <c r="J167" t="s">
        <v>140</v>
      </c>
      <c r="K167" t="str">
        <f t="shared" si="68"/>
        <v xml:space="preserve"> Not used for reporting </v>
      </c>
      <c r="L167" t="str">
        <f t="shared" si="69"/>
        <v xml:space="preserve"> 5.0% </v>
      </c>
      <c r="M167" t="s">
        <v>512</v>
      </c>
      <c r="N167" t="str">
        <f t="shared" si="70"/>
        <v xml:space="preserve"> Not used for reporting </v>
      </c>
      <c r="O167" t="str">
        <f t="shared" si="71"/>
        <v xml:space="preserve"> 14.0% </v>
      </c>
      <c r="P167" t="s">
        <v>146</v>
      </c>
      <c r="Q167" t="str">
        <f t="shared" si="72"/>
        <v xml:space="preserve"> Not used for reporting </v>
      </c>
      <c r="R167" t="str">
        <f t="shared" si="73"/>
        <v xml:space="preserve"> 12.0% </v>
      </c>
      <c r="S167" t="s">
        <v>708</v>
      </c>
      <c r="T167" t="str">
        <f t="shared" si="74"/>
        <v xml:space="preserve"> Not used for reporting </v>
      </c>
      <c r="U167" t="str">
        <f t="shared" si="75"/>
        <v xml:space="preserve"> 20.0% </v>
      </c>
      <c r="V167" t="s">
        <v>140</v>
      </c>
      <c r="W167" t="str">
        <f t="shared" si="76"/>
        <v xml:space="preserve"> Not used for reporting </v>
      </c>
      <c r="X167" t="str">
        <f t="shared" si="77"/>
        <v xml:space="preserve"> 5.0% </v>
      </c>
      <c r="Y167" t="s">
        <v>400</v>
      </c>
      <c r="Z167" t="str">
        <f t="shared" si="78"/>
        <v xml:space="preserve"> Not used for reporting </v>
      </c>
      <c r="AA167" t="str">
        <f t="shared" si="79"/>
        <v xml:space="preserve"> 15.0% </v>
      </c>
      <c r="AB167" t="s">
        <v>400</v>
      </c>
      <c r="AC167" t="str">
        <f t="shared" si="80"/>
        <v xml:space="preserve"> Not used for reporting </v>
      </c>
      <c r="AD167" t="str">
        <f t="shared" si="81"/>
        <v xml:space="preserve"> 15.0% </v>
      </c>
      <c r="AF167" t="s">
        <v>906</v>
      </c>
      <c r="AG167" t="str">
        <f t="shared" si="82"/>
        <v xml:space="preserve"> Not used for reporting </v>
      </c>
      <c r="AH167" t="str">
        <f t="shared" si="83"/>
        <v xml:space="preserve"> 6.0% </v>
      </c>
      <c r="AI167" t="s">
        <v>134</v>
      </c>
      <c r="AK167" t="str">
        <f t="shared" si="84"/>
        <v xml:space="preserve"> Not used for reporting </v>
      </c>
      <c r="AL167" t="str">
        <f t="shared" si="85"/>
        <v xml:space="preserve"> 10.0% </v>
      </c>
      <c r="AM167" t="s">
        <v>134</v>
      </c>
      <c r="AN167" t="s">
        <v>0</v>
      </c>
      <c r="AO167" t="str">
        <f t="shared" si="86"/>
        <v xml:space="preserve"> 10.0% </v>
      </c>
      <c r="AP167" t="s">
        <v>1023</v>
      </c>
      <c r="AQ167" t="str">
        <f t="shared" si="87"/>
        <v xml:space="preserve"> Not used for reporting </v>
      </c>
      <c r="AR167" t="str">
        <f t="shared" si="88"/>
        <v xml:space="preserve"> 31.0% </v>
      </c>
      <c r="AS167" t="s">
        <v>140</v>
      </c>
      <c r="AT167" t="str">
        <f t="shared" si="89"/>
        <v xml:space="preserve"> Not used for reporting </v>
      </c>
      <c r="AU167" t="str">
        <f t="shared" si="90"/>
        <v xml:space="preserve"> 5.0% </v>
      </c>
      <c r="AV167" t="s">
        <v>1219</v>
      </c>
      <c r="AW167" t="str">
        <f t="shared" si="91"/>
        <v>Not used for reporting</v>
      </c>
      <c r="AX167" t="str">
        <f t="shared" si="92"/>
        <v xml:space="preserve"> 12.0% </v>
      </c>
    </row>
    <row r="168" spans="1:50" x14ac:dyDescent="0.45">
      <c r="A168" t="s">
        <v>65</v>
      </c>
      <c r="B168" t="str">
        <f t="shared" si="62"/>
        <v xml:space="preserve"> Other </v>
      </c>
      <c r="C168" t="str">
        <f t="shared" si="63"/>
        <v xml:space="preserve"> 2.0% </v>
      </c>
      <c r="D168" t="s">
        <v>297</v>
      </c>
      <c r="E168" t="str">
        <f t="shared" si="64"/>
        <v xml:space="preserve"> Other </v>
      </c>
      <c r="F168" t="str">
        <f t="shared" si="65"/>
        <v xml:space="preserve"> 4.0% </v>
      </c>
      <c r="G168" t="s">
        <v>76</v>
      </c>
      <c r="H168" t="str">
        <f t="shared" si="66"/>
        <v xml:space="preserve"> Other </v>
      </c>
      <c r="I168" t="str">
        <f t="shared" si="67"/>
        <v xml:space="preserve"> 5.0% </v>
      </c>
      <c r="J168" t="s">
        <v>76</v>
      </c>
      <c r="K168" t="str">
        <f t="shared" si="68"/>
        <v xml:space="preserve"> Other </v>
      </c>
      <c r="L168" t="str">
        <f t="shared" si="69"/>
        <v xml:space="preserve"> 5.0% </v>
      </c>
      <c r="M168" t="s">
        <v>483</v>
      </c>
      <c r="N168" t="str">
        <f t="shared" si="70"/>
        <v xml:space="preserve"> Other </v>
      </c>
      <c r="O168" t="str">
        <f t="shared" si="71"/>
        <v xml:space="preserve"> 3.0% </v>
      </c>
      <c r="P168" t="s">
        <v>483</v>
      </c>
      <c r="Q168" t="str">
        <f t="shared" si="72"/>
        <v xml:space="preserve"> Other </v>
      </c>
      <c r="R168" t="str">
        <f t="shared" si="73"/>
        <v xml:space="preserve"> 3.0% </v>
      </c>
      <c r="S168" t="s">
        <v>76</v>
      </c>
      <c r="T168" t="str">
        <f t="shared" si="74"/>
        <v xml:space="preserve"> Other </v>
      </c>
      <c r="U168" t="str">
        <f t="shared" si="75"/>
        <v xml:space="preserve"> 5.0% </v>
      </c>
      <c r="V168" t="s">
        <v>76</v>
      </c>
      <c r="W168" t="str">
        <f t="shared" si="76"/>
        <v xml:space="preserve"> Other </v>
      </c>
      <c r="X168" t="str">
        <f t="shared" si="77"/>
        <v xml:space="preserve"> 5.0% </v>
      </c>
      <c r="Y168" t="s">
        <v>76</v>
      </c>
      <c r="Z168" t="str">
        <f t="shared" si="78"/>
        <v xml:space="preserve"> Other </v>
      </c>
      <c r="AA168" t="str">
        <f t="shared" si="79"/>
        <v xml:space="preserve"> 5.0% </v>
      </c>
      <c r="AB168" t="s">
        <v>275</v>
      </c>
      <c r="AC168" t="str">
        <f t="shared" si="80"/>
        <v xml:space="preserve"> Other </v>
      </c>
      <c r="AD168" t="str">
        <f t="shared" si="81"/>
        <v xml:space="preserve"> 8.0% </v>
      </c>
      <c r="AF168" t="s">
        <v>297</v>
      </c>
      <c r="AG168" t="str">
        <f t="shared" si="82"/>
        <v xml:space="preserve"> Other </v>
      </c>
      <c r="AH168" t="str">
        <f t="shared" si="83"/>
        <v xml:space="preserve"> 4.0% </v>
      </c>
      <c r="AI168" t="s">
        <v>65</v>
      </c>
      <c r="AK168" t="str">
        <f t="shared" si="84"/>
        <v xml:space="preserve"> Other </v>
      </c>
      <c r="AL168" t="str">
        <f t="shared" si="85"/>
        <v xml:space="preserve"> 2.0% </v>
      </c>
      <c r="AM168" t="s">
        <v>65</v>
      </c>
      <c r="AN168" t="s">
        <v>0</v>
      </c>
      <c r="AO168" t="str">
        <f t="shared" si="86"/>
        <v xml:space="preserve"> 2.0% </v>
      </c>
      <c r="AP168" t="s">
        <v>255</v>
      </c>
      <c r="AQ168" t="str">
        <f t="shared" si="87"/>
        <v xml:space="preserve"> Other </v>
      </c>
      <c r="AR168" t="str">
        <f t="shared" si="88"/>
        <v xml:space="preserve"> 7.0% </v>
      </c>
      <c r="AS168" t="s">
        <v>76</v>
      </c>
      <c r="AT168" t="str">
        <f t="shared" si="89"/>
        <v xml:space="preserve"> Other </v>
      </c>
      <c r="AU168" t="str">
        <f t="shared" si="90"/>
        <v xml:space="preserve"> 5.0% </v>
      </c>
      <c r="AV168" t="s">
        <v>1220</v>
      </c>
      <c r="AW168" t="str">
        <f t="shared" si="91"/>
        <v>Other</v>
      </c>
      <c r="AX168" t="str">
        <f t="shared" si="92"/>
        <v xml:space="preserve"> 12.0% </v>
      </c>
    </row>
    <row r="169" spans="1:50" x14ac:dyDescent="0.45">
      <c r="A169" t="s">
        <v>53</v>
      </c>
      <c r="B169" t="str">
        <f t="shared" si="62"/>
        <v/>
      </c>
      <c r="C169" t="str">
        <f t="shared" si="63"/>
        <v/>
      </c>
      <c r="D169" t="s">
        <v>222</v>
      </c>
      <c r="E169" t="str">
        <f t="shared" si="64"/>
        <v/>
      </c>
      <c r="F169" t="str">
        <f t="shared" si="65"/>
        <v/>
      </c>
      <c r="G169" t="s">
        <v>53</v>
      </c>
      <c r="H169" t="str">
        <f t="shared" si="66"/>
        <v/>
      </c>
      <c r="I169" t="str">
        <f t="shared" si="67"/>
        <v/>
      </c>
      <c r="J169" t="s">
        <v>53</v>
      </c>
      <c r="K169" t="str">
        <f t="shared" si="68"/>
        <v/>
      </c>
      <c r="L169" t="str">
        <f t="shared" si="69"/>
        <v/>
      </c>
      <c r="M169" t="s">
        <v>53</v>
      </c>
      <c r="N169" t="str">
        <f t="shared" si="70"/>
        <v/>
      </c>
      <c r="O169" t="str">
        <f t="shared" si="71"/>
        <v/>
      </c>
      <c r="P169" t="s">
        <v>53</v>
      </c>
      <c r="Q169" t="str">
        <f t="shared" si="72"/>
        <v/>
      </c>
      <c r="R169" t="str">
        <f t="shared" si="73"/>
        <v/>
      </c>
      <c r="S169" t="s">
        <v>53</v>
      </c>
      <c r="T169" t="str">
        <f t="shared" si="74"/>
        <v/>
      </c>
      <c r="U169" t="str">
        <f t="shared" si="75"/>
        <v/>
      </c>
      <c r="V169" t="s">
        <v>53</v>
      </c>
      <c r="W169" t="str">
        <f t="shared" si="76"/>
        <v/>
      </c>
      <c r="X169" t="str">
        <f t="shared" si="77"/>
        <v/>
      </c>
      <c r="Y169" t="s">
        <v>53</v>
      </c>
      <c r="Z169" t="str">
        <f t="shared" si="78"/>
        <v/>
      </c>
      <c r="AA169" t="str">
        <f t="shared" si="79"/>
        <v/>
      </c>
      <c r="AB169" t="s">
        <v>53</v>
      </c>
      <c r="AC169" t="str">
        <f t="shared" si="80"/>
        <v/>
      </c>
      <c r="AD169" t="str">
        <f t="shared" si="81"/>
        <v/>
      </c>
      <c r="AF169" t="s">
        <v>53</v>
      </c>
      <c r="AG169" t="str">
        <f t="shared" si="82"/>
        <v/>
      </c>
      <c r="AH169" t="str">
        <f t="shared" si="83"/>
        <v/>
      </c>
      <c r="AI169" t="s">
        <v>53</v>
      </c>
      <c r="AK169" t="str">
        <f t="shared" si="84"/>
        <v/>
      </c>
      <c r="AL169" t="str">
        <f t="shared" si="85"/>
        <v/>
      </c>
      <c r="AM169" t="s">
        <v>53</v>
      </c>
      <c r="AN169" t="s">
        <v>0</v>
      </c>
      <c r="AO169" t="str">
        <f t="shared" si="86"/>
        <v/>
      </c>
      <c r="AP169" t="s">
        <v>53</v>
      </c>
      <c r="AQ169" t="str">
        <f t="shared" si="87"/>
        <v/>
      </c>
      <c r="AR169" t="str">
        <f t="shared" si="88"/>
        <v/>
      </c>
      <c r="AS169" t="s">
        <v>53</v>
      </c>
      <c r="AT169" t="str">
        <f t="shared" si="89"/>
        <v/>
      </c>
      <c r="AU169" t="str">
        <f t="shared" si="90"/>
        <v/>
      </c>
      <c r="AV169" t="s">
        <v>1130</v>
      </c>
      <c r="AW169" t="str">
        <f t="shared" si="91"/>
        <v/>
      </c>
      <c r="AX169" t="str">
        <f t="shared" si="92"/>
        <v/>
      </c>
    </row>
    <row r="170" spans="1:50" x14ac:dyDescent="0.45">
      <c r="A170" t="s">
        <v>141</v>
      </c>
      <c r="B170" t="str">
        <f t="shared" si="62"/>
        <v xml:space="preserve"> Automated reports </v>
      </c>
      <c r="C170" t="str">
        <f t="shared" si="63"/>
        <v xml:space="preserve"> 70.0% </v>
      </c>
      <c r="D170" t="s">
        <v>303</v>
      </c>
      <c r="E170" t="str">
        <f t="shared" si="64"/>
        <v xml:space="preserve"> Automated reports </v>
      </c>
      <c r="F170" t="str">
        <f t="shared" si="65"/>
        <v xml:space="preserve"> 44.0% </v>
      </c>
      <c r="G170" t="s">
        <v>583</v>
      </c>
      <c r="H170" t="str">
        <f t="shared" si="66"/>
        <v xml:space="preserve"> Automated reports </v>
      </c>
      <c r="I170" t="str">
        <f t="shared" si="67"/>
        <v xml:space="preserve"> 40.0% </v>
      </c>
      <c r="J170" t="s">
        <v>135</v>
      </c>
      <c r="K170" t="str">
        <f t="shared" si="68"/>
        <v xml:space="preserve"> Automated reports </v>
      </c>
      <c r="L170" t="str">
        <f t="shared" si="69"/>
        <v xml:space="preserve"> 55.0% </v>
      </c>
      <c r="M170" t="s">
        <v>513</v>
      </c>
      <c r="N170" t="str">
        <f t="shared" si="70"/>
        <v xml:space="preserve"> Automated reports </v>
      </c>
      <c r="O170" t="str">
        <f t="shared" si="71"/>
        <v xml:space="preserve"> 36.0% </v>
      </c>
      <c r="P170" t="s">
        <v>393</v>
      </c>
      <c r="Q170" t="str">
        <f t="shared" si="72"/>
        <v xml:space="preserve"> Automated reports </v>
      </c>
      <c r="R170" t="str">
        <f t="shared" si="73"/>
        <v xml:space="preserve"> 45.0% </v>
      </c>
      <c r="S170" t="s">
        <v>135</v>
      </c>
      <c r="T170" t="str">
        <f t="shared" si="74"/>
        <v xml:space="preserve"> Automated reports </v>
      </c>
      <c r="U170" t="str">
        <f t="shared" si="75"/>
        <v xml:space="preserve"> 55.0% </v>
      </c>
      <c r="V170" t="s">
        <v>129</v>
      </c>
      <c r="W170" t="str">
        <f t="shared" si="76"/>
        <v xml:space="preserve"> Automated reports </v>
      </c>
      <c r="X170" t="str">
        <f t="shared" si="77"/>
        <v xml:space="preserve"> 65.0% </v>
      </c>
      <c r="Y170" t="s">
        <v>796</v>
      </c>
      <c r="Z170" t="str">
        <f t="shared" si="78"/>
        <v xml:space="preserve"> Automated reports </v>
      </c>
      <c r="AA170" t="str">
        <f t="shared" si="79"/>
        <v xml:space="preserve"> 35.0% </v>
      </c>
      <c r="AB170" t="s">
        <v>583</v>
      </c>
      <c r="AC170" t="str">
        <f t="shared" si="80"/>
        <v xml:space="preserve"> Automated reports </v>
      </c>
      <c r="AD170" t="str">
        <f t="shared" si="81"/>
        <v xml:space="preserve"> 40.0% </v>
      </c>
      <c r="AF170" t="s">
        <v>513</v>
      </c>
      <c r="AG170" t="str">
        <f t="shared" si="82"/>
        <v xml:space="preserve"> Automated reports </v>
      </c>
      <c r="AH170" t="str">
        <f t="shared" si="83"/>
        <v xml:space="preserve"> 36.0% </v>
      </c>
      <c r="AI170" t="s">
        <v>393</v>
      </c>
      <c r="AK170" t="str">
        <f t="shared" si="84"/>
        <v xml:space="preserve"> Automated reports </v>
      </c>
      <c r="AL170" t="str">
        <f t="shared" si="85"/>
        <v xml:space="preserve"> 45.0% </v>
      </c>
      <c r="AM170" t="s">
        <v>135</v>
      </c>
      <c r="AN170" t="s">
        <v>0</v>
      </c>
      <c r="AO170" t="str">
        <f t="shared" si="86"/>
        <v xml:space="preserve"> 55.0% </v>
      </c>
      <c r="AP170" t="s">
        <v>1024</v>
      </c>
      <c r="AQ170" t="str">
        <f t="shared" si="87"/>
        <v xml:space="preserve"> Automated reports </v>
      </c>
      <c r="AR170" t="str">
        <f t="shared" si="88"/>
        <v xml:space="preserve"> 28.0% </v>
      </c>
      <c r="AS170" t="s">
        <v>583</v>
      </c>
      <c r="AT170" t="str">
        <f t="shared" si="89"/>
        <v xml:space="preserve"> Automated reports </v>
      </c>
      <c r="AU170" t="str">
        <f t="shared" si="90"/>
        <v xml:space="preserve"> 40.0% </v>
      </c>
      <c r="AV170" t="s">
        <v>1221</v>
      </c>
      <c r="AW170" t="str">
        <f t="shared" si="91"/>
        <v>Automated reports</v>
      </c>
      <c r="AX170" t="str">
        <f t="shared" si="92"/>
        <v xml:space="preserve"> 55.0% </v>
      </c>
    </row>
    <row r="171" spans="1:50" x14ac:dyDescent="0.45">
      <c r="A171" t="s">
        <v>142</v>
      </c>
      <c r="B171" t="str">
        <f t="shared" si="62"/>
        <v xml:space="preserve"> Dashboards &amp; visualization </v>
      </c>
      <c r="C171" t="str">
        <f t="shared" si="63"/>
        <v xml:space="preserve"> 75.0% </v>
      </c>
      <c r="D171" t="s">
        <v>304</v>
      </c>
      <c r="E171" t="str">
        <f t="shared" si="64"/>
        <v xml:space="preserve"> Dashboards &amp; visualization </v>
      </c>
      <c r="F171" t="str">
        <f t="shared" si="65"/>
        <v xml:space="preserve"> 52.0% </v>
      </c>
      <c r="G171" t="s">
        <v>398</v>
      </c>
      <c r="H171" t="str">
        <f t="shared" si="66"/>
        <v xml:space="preserve"> Dashboards &amp; visualization </v>
      </c>
      <c r="I171" t="str">
        <f t="shared" si="67"/>
        <v xml:space="preserve"> 50.0% </v>
      </c>
      <c r="J171" t="s">
        <v>398</v>
      </c>
      <c r="K171" t="str">
        <f t="shared" si="68"/>
        <v xml:space="preserve"> Dashboards &amp; visualization </v>
      </c>
      <c r="L171" t="str">
        <f t="shared" si="69"/>
        <v xml:space="preserve"> 50.0% </v>
      </c>
      <c r="M171" t="s">
        <v>514</v>
      </c>
      <c r="N171" t="str">
        <f t="shared" si="70"/>
        <v xml:space="preserve"> Dashboards &amp; visualization </v>
      </c>
      <c r="O171" t="str">
        <f t="shared" si="71"/>
        <v xml:space="preserve"> 44.0% </v>
      </c>
      <c r="P171" t="s">
        <v>394</v>
      </c>
      <c r="Q171" t="str">
        <f t="shared" si="72"/>
        <v xml:space="preserve"> Dashboards &amp; visualization </v>
      </c>
      <c r="R171" t="str">
        <f t="shared" si="73"/>
        <v xml:space="preserve"> 55.0% </v>
      </c>
      <c r="S171" t="s">
        <v>304</v>
      </c>
      <c r="T171" t="str">
        <f t="shared" si="74"/>
        <v xml:space="preserve"> Dashboards &amp; visualization </v>
      </c>
      <c r="U171" t="str">
        <f t="shared" si="75"/>
        <v xml:space="preserve"> 52.0% </v>
      </c>
      <c r="V171" t="s">
        <v>142</v>
      </c>
      <c r="W171" t="str">
        <f t="shared" si="76"/>
        <v xml:space="preserve"> Dashboards &amp; visualization </v>
      </c>
      <c r="X171" t="str">
        <f t="shared" si="77"/>
        <v xml:space="preserve"> 75.0% </v>
      </c>
      <c r="Y171" t="s">
        <v>797</v>
      </c>
      <c r="Z171" t="str">
        <f t="shared" si="78"/>
        <v xml:space="preserve"> Dashboards &amp; visualization </v>
      </c>
      <c r="AA171" t="str">
        <f t="shared" si="79"/>
        <v xml:space="preserve"> 45.0% </v>
      </c>
      <c r="AB171" t="s">
        <v>398</v>
      </c>
      <c r="AC171" t="str">
        <f t="shared" si="80"/>
        <v xml:space="preserve"> Dashboards &amp; visualization </v>
      </c>
      <c r="AD171" t="str">
        <f t="shared" si="81"/>
        <v xml:space="preserve"> 50.0% </v>
      </c>
      <c r="AF171" t="s">
        <v>514</v>
      </c>
      <c r="AG171" t="str">
        <f t="shared" si="82"/>
        <v xml:space="preserve"> Dashboards &amp; visualization </v>
      </c>
      <c r="AH171" t="str">
        <f t="shared" si="83"/>
        <v xml:space="preserve"> 44.0% </v>
      </c>
      <c r="AI171" t="s">
        <v>398</v>
      </c>
      <c r="AK171" t="str">
        <f t="shared" si="84"/>
        <v xml:space="preserve"> Dashboards &amp; visualization </v>
      </c>
      <c r="AL171" t="str">
        <f t="shared" si="85"/>
        <v xml:space="preserve"> 50.0% </v>
      </c>
      <c r="AM171" t="s">
        <v>641</v>
      </c>
      <c r="AN171" t="s">
        <v>0</v>
      </c>
      <c r="AO171" t="str">
        <f t="shared" si="86"/>
        <v xml:space="preserve"> 65.0% </v>
      </c>
      <c r="AP171" t="s">
        <v>514</v>
      </c>
      <c r="AQ171" t="str">
        <f t="shared" si="87"/>
        <v xml:space="preserve"> Dashboards &amp; visualization </v>
      </c>
      <c r="AR171" t="str">
        <f t="shared" si="88"/>
        <v xml:space="preserve"> 44.0% </v>
      </c>
      <c r="AS171" t="s">
        <v>1069</v>
      </c>
      <c r="AT171" t="str">
        <f t="shared" si="89"/>
        <v xml:space="preserve"> Dashboards &amp; visualization </v>
      </c>
      <c r="AU171" t="str">
        <f t="shared" si="90"/>
        <v xml:space="preserve"> 56.0% </v>
      </c>
      <c r="AV171" t="s">
        <v>1222</v>
      </c>
      <c r="AW171" t="str">
        <f t="shared" si="91"/>
        <v>Dashboards &amp; visualization</v>
      </c>
      <c r="AX171" t="str">
        <f t="shared" si="92"/>
        <v xml:space="preserve"> 60.0% </v>
      </c>
    </row>
    <row r="172" spans="1:50" x14ac:dyDescent="0.45">
      <c r="A172" t="s">
        <v>143</v>
      </c>
      <c r="B172" t="str">
        <f t="shared" si="62"/>
        <v xml:space="preserve"> Predictive insights </v>
      </c>
      <c r="C172" t="str">
        <f t="shared" si="63"/>
        <v xml:space="preserve"> 40.0% </v>
      </c>
      <c r="D172" t="s">
        <v>305</v>
      </c>
      <c r="E172" t="str">
        <f t="shared" si="64"/>
        <v xml:space="preserve"> Predictive insights </v>
      </c>
      <c r="F172" t="str">
        <f t="shared" si="65"/>
        <v xml:space="preserve"> 36.0% </v>
      </c>
      <c r="G172" t="s">
        <v>584</v>
      </c>
      <c r="H172" t="str">
        <f t="shared" si="66"/>
        <v xml:space="preserve"> Predictive insights </v>
      </c>
      <c r="I172" t="str">
        <f t="shared" si="67"/>
        <v xml:space="preserve"> 28.0% </v>
      </c>
      <c r="J172" t="s">
        <v>399</v>
      </c>
      <c r="K172" t="str">
        <f t="shared" si="68"/>
        <v xml:space="preserve"> Predictive insights </v>
      </c>
      <c r="L172" t="str">
        <f t="shared" si="69"/>
        <v xml:space="preserve"> 35.0% </v>
      </c>
      <c r="M172" t="s">
        <v>515</v>
      </c>
      <c r="N172" t="str">
        <f t="shared" si="70"/>
        <v xml:space="preserve"> Predictive insights </v>
      </c>
      <c r="O172" t="str">
        <f t="shared" si="71"/>
        <v xml:space="preserve"> 31.0% </v>
      </c>
      <c r="P172" t="s">
        <v>399</v>
      </c>
      <c r="Q172" t="str">
        <f t="shared" si="72"/>
        <v xml:space="preserve"> Predictive insights </v>
      </c>
      <c r="R172" t="str">
        <f t="shared" si="73"/>
        <v xml:space="preserve"> 35.0% </v>
      </c>
      <c r="S172" t="s">
        <v>709</v>
      </c>
      <c r="T172" t="str">
        <f t="shared" si="74"/>
        <v xml:space="preserve"> Predictive insights </v>
      </c>
      <c r="U172" t="str">
        <f t="shared" si="75"/>
        <v xml:space="preserve"> 38.0% </v>
      </c>
      <c r="V172" t="s">
        <v>143</v>
      </c>
      <c r="W172" t="str">
        <f t="shared" si="76"/>
        <v xml:space="preserve"> Predictive insights </v>
      </c>
      <c r="X172" t="str">
        <f t="shared" si="77"/>
        <v xml:space="preserve"> 40.0% </v>
      </c>
      <c r="Y172" t="s">
        <v>798</v>
      </c>
      <c r="Z172" t="str">
        <f t="shared" si="78"/>
        <v xml:space="preserve"> Predictive insights </v>
      </c>
      <c r="AA172" t="str">
        <f t="shared" si="79"/>
        <v xml:space="preserve"> 25.0% </v>
      </c>
      <c r="AB172" t="s">
        <v>399</v>
      </c>
      <c r="AC172" t="str">
        <f t="shared" si="80"/>
        <v xml:space="preserve"> Predictive insights </v>
      </c>
      <c r="AD172" t="str">
        <f t="shared" si="81"/>
        <v xml:space="preserve"> 35.0% </v>
      </c>
      <c r="AF172" t="s">
        <v>584</v>
      </c>
      <c r="AG172" t="str">
        <f t="shared" si="82"/>
        <v xml:space="preserve"> Predictive insights </v>
      </c>
      <c r="AH172" t="str">
        <f t="shared" si="83"/>
        <v xml:space="preserve"> 28.0% </v>
      </c>
      <c r="AI172" t="s">
        <v>966</v>
      </c>
      <c r="AK172" t="str">
        <f t="shared" si="84"/>
        <v xml:space="preserve"> Predictive insights </v>
      </c>
      <c r="AL172" t="str">
        <f t="shared" si="85"/>
        <v xml:space="preserve"> 20.0% </v>
      </c>
      <c r="AM172" t="s">
        <v>395</v>
      </c>
      <c r="AN172" t="s">
        <v>0</v>
      </c>
      <c r="AO172" t="str">
        <f t="shared" si="86"/>
        <v xml:space="preserve"> 50.0% </v>
      </c>
      <c r="AP172" t="s">
        <v>965</v>
      </c>
      <c r="AQ172" t="str">
        <f t="shared" si="87"/>
        <v xml:space="preserve"> Predictive insights </v>
      </c>
      <c r="AR172" t="str">
        <f t="shared" si="88"/>
        <v xml:space="preserve"> 30.0% </v>
      </c>
      <c r="AS172" t="s">
        <v>131</v>
      </c>
      <c r="AT172" t="str">
        <f t="shared" si="89"/>
        <v xml:space="preserve"> Predictive insights </v>
      </c>
      <c r="AU172" t="str">
        <f t="shared" si="90"/>
        <v xml:space="preserve"> 45.0% </v>
      </c>
      <c r="AV172" t="s">
        <v>1223</v>
      </c>
      <c r="AW172" t="str">
        <f t="shared" si="91"/>
        <v>Predictive insights</v>
      </c>
      <c r="AX172" t="str">
        <f t="shared" si="92"/>
        <v xml:space="preserve"> 40.0% </v>
      </c>
    </row>
    <row r="173" spans="1:50" x14ac:dyDescent="0.45">
      <c r="A173" t="s">
        <v>144</v>
      </c>
      <c r="B173" t="str">
        <f t="shared" si="62"/>
        <v xml:space="preserve"> Root cause analysis </v>
      </c>
      <c r="C173" t="str">
        <f t="shared" si="63"/>
        <v xml:space="preserve"> 45.0% </v>
      </c>
      <c r="D173" t="s">
        <v>306</v>
      </c>
      <c r="E173" t="str">
        <f t="shared" si="64"/>
        <v xml:space="preserve"> Root cause analysis </v>
      </c>
      <c r="F173" t="str">
        <f t="shared" si="65"/>
        <v xml:space="preserve"> 34.0% </v>
      </c>
      <c r="G173" t="s">
        <v>585</v>
      </c>
      <c r="H173" t="str">
        <f t="shared" si="66"/>
        <v xml:space="preserve"> Root cause analysis </v>
      </c>
      <c r="I173" t="str">
        <f t="shared" si="67"/>
        <v xml:space="preserve"> 30.0% </v>
      </c>
      <c r="J173" t="s">
        <v>396</v>
      </c>
      <c r="K173" t="str">
        <f t="shared" si="68"/>
        <v xml:space="preserve"> Root cause analysis </v>
      </c>
      <c r="L173" t="str">
        <f t="shared" si="69"/>
        <v xml:space="preserve"> 40.0% </v>
      </c>
      <c r="M173" t="s">
        <v>516</v>
      </c>
      <c r="N173" t="str">
        <f t="shared" si="70"/>
        <v xml:space="preserve"> Root cause analysis </v>
      </c>
      <c r="O173" t="str">
        <f t="shared" si="71"/>
        <v xml:space="preserve"> 29.0% </v>
      </c>
      <c r="P173" t="s">
        <v>396</v>
      </c>
      <c r="Q173" t="str">
        <f t="shared" si="72"/>
        <v xml:space="preserve"> Root cause analysis </v>
      </c>
      <c r="R173" t="str">
        <f t="shared" si="73"/>
        <v xml:space="preserve"> 40.0% </v>
      </c>
      <c r="S173" t="s">
        <v>585</v>
      </c>
      <c r="T173" t="str">
        <f t="shared" si="74"/>
        <v xml:space="preserve"> Root cause analysis </v>
      </c>
      <c r="U173" t="str">
        <f t="shared" si="75"/>
        <v xml:space="preserve"> 30.0% </v>
      </c>
      <c r="V173" t="s">
        <v>766</v>
      </c>
      <c r="W173" t="str">
        <f t="shared" si="76"/>
        <v xml:space="preserve"> Root cause analysis </v>
      </c>
      <c r="X173" t="str">
        <f t="shared" si="77"/>
        <v xml:space="preserve"> 60.0% </v>
      </c>
      <c r="Y173" t="s">
        <v>585</v>
      </c>
      <c r="Z173" t="str">
        <f t="shared" si="78"/>
        <v xml:space="preserve"> Root cause analysis </v>
      </c>
      <c r="AA173" t="str">
        <f t="shared" si="79"/>
        <v xml:space="preserve"> 30.0% </v>
      </c>
      <c r="AB173" t="s">
        <v>585</v>
      </c>
      <c r="AC173" t="str">
        <f t="shared" si="80"/>
        <v xml:space="preserve"> Root cause analysis </v>
      </c>
      <c r="AD173" t="str">
        <f t="shared" si="81"/>
        <v xml:space="preserve"> 30.0% </v>
      </c>
      <c r="AF173" t="s">
        <v>907</v>
      </c>
      <c r="AG173" t="str">
        <f t="shared" si="82"/>
        <v xml:space="preserve"> Root cause analysis </v>
      </c>
      <c r="AH173" t="str">
        <f t="shared" si="83"/>
        <v xml:space="preserve"> 32.0% </v>
      </c>
      <c r="AI173" t="s">
        <v>585</v>
      </c>
      <c r="AK173" t="str">
        <f t="shared" si="84"/>
        <v xml:space="preserve"> Root cause analysis </v>
      </c>
      <c r="AL173" t="str">
        <f t="shared" si="85"/>
        <v xml:space="preserve"> 30.0% </v>
      </c>
      <c r="AM173" t="s">
        <v>144</v>
      </c>
      <c r="AN173" t="s">
        <v>0</v>
      </c>
      <c r="AO173" t="str">
        <f t="shared" si="86"/>
        <v xml:space="preserve"> 45.0% </v>
      </c>
      <c r="AP173" t="s">
        <v>1025</v>
      </c>
      <c r="AQ173" t="str">
        <f t="shared" si="87"/>
        <v xml:space="preserve"> Root cause analysis </v>
      </c>
      <c r="AR173" t="str">
        <f t="shared" si="88"/>
        <v xml:space="preserve"> 24.0% </v>
      </c>
      <c r="AS173" t="s">
        <v>505</v>
      </c>
      <c r="AT173" t="str">
        <f t="shared" si="89"/>
        <v xml:space="preserve"> Root cause analysis </v>
      </c>
      <c r="AU173" t="str">
        <f t="shared" si="90"/>
        <v xml:space="preserve"> 38.0% </v>
      </c>
      <c r="AV173" t="s">
        <v>1224</v>
      </c>
      <c r="AW173" t="str">
        <f t="shared" si="91"/>
        <v>Root cause analysis</v>
      </c>
      <c r="AX173" t="str">
        <f t="shared" si="92"/>
        <v xml:space="preserve"> 40.0% </v>
      </c>
    </row>
    <row r="174" spans="1:50" x14ac:dyDescent="0.45">
      <c r="A174" t="s">
        <v>145</v>
      </c>
      <c r="B174" t="str">
        <f t="shared" si="62"/>
        <v xml:space="preserve"> Executive summaries </v>
      </c>
      <c r="C174" t="str">
        <f t="shared" si="63"/>
        <v xml:space="preserve"> 40.0% </v>
      </c>
      <c r="D174" t="s">
        <v>307</v>
      </c>
      <c r="E174" t="str">
        <f t="shared" si="64"/>
        <v xml:space="preserve"> Executive summaries </v>
      </c>
      <c r="F174" t="str">
        <f t="shared" si="65"/>
        <v xml:space="preserve"> 24.0% </v>
      </c>
      <c r="G174" t="s">
        <v>586</v>
      </c>
      <c r="H174" t="str">
        <f t="shared" si="66"/>
        <v xml:space="preserve"> Executive summaries </v>
      </c>
      <c r="I174" t="str">
        <f t="shared" si="67"/>
        <v xml:space="preserve"> 20.0% </v>
      </c>
      <c r="J174" t="s">
        <v>139</v>
      </c>
      <c r="K174" t="str">
        <f t="shared" si="68"/>
        <v xml:space="preserve"> Executive summaries </v>
      </c>
      <c r="L174" t="str">
        <f t="shared" si="69"/>
        <v xml:space="preserve"> 35.0% </v>
      </c>
      <c r="M174" t="s">
        <v>517</v>
      </c>
      <c r="N174" t="str">
        <f t="shared" si="70"/>
        <v xml:space="preserve"> Executive summaries </v>
      </c>
      <c r="O174" t="str">
        <f t="shared" si="71"/>
        <v xml:space="preserve"> 15.0% </v>
      </c>
      <c r="P174" t="s">
        <v>139</v>
      </c>
      <c r="Q174" t="str">
        <f t="shared" si="72"/>
        <v xml:space="preserve"> Executive summaries </v>
      </c>
      <c r="R174" t="str">
        <f t="shared" si="73"/>
        <v xml:space="preserve"> 35.0% </v>
      </c>
      <c r="S174" t="s">
        <v>296</v>
      </c>
      <c r="T174" t="str">
        <f t="shared" si="74"/>
        <v xml:space="preserve"> Executive summaries </v>
      </c>
      <c r="U174" t="str">
        <f t="shared" si="75"/>
        <v xml:space="preserve"> 28.0% </v>
      </c>
      <c r="V174" t="s">
        <v>139</v>
      </c>
      <c r="W174" t="str">
        <f t="shared" si="76"/>
        <v xml:space="preserve"> Executive summaries </v>
      </c>
      <c r="X174" t="str">
        <f t="shared" si="77"/>
        <v xml:space="preserve"> 35.0% </v>
      </c>
      <c r="Y174" t="s">
        <v>586</v>
      </c>
      <c r="Z174" t="str">
        <f t="shared" si="78"/>
        <v xml:space="preserve"> Executive summaries </v>
      </c>
      <c r="AA174" t="str">
        <f t="shared" si="79"/>
        <v xml:space="preserve"> 20.0% </v>
      </c>
      <c r="AB174" t="s">
        <v>397</v>
      </c>
      <c r="AC174" t="str">
        <f t="shared" si="80"/>
        <v xml:space="preserve"> Executive summaries </v>
      </c>
      <c r="AD174" t="str">
        <f t="shared" si="81"/>
        <v xml:space="preserve"> 25.0% </v>
      </c>
      <c r="AF174" t="s">
        <v>307</v>
      </c>
      <c r="AG174" t="str">
        <f t="shared" si="82"/>
        <v xml:space="preserve"> Executive summaries </v>
      </c>
      <c r="AH174" t="str">
        <f t="shared" si="83"/>
        <v xml:space="preserve"> 24.0% </v>
      </c>
      <c r="AI174" t="s">
        <v>586</v>
      </c>
      <c r="AK174" t="str">
        <f t="shared" si="84"/>
        <v xml:space="preserve"> Executive summaries </v>
      </c>
      <c r="AL174" t="str">
        <f t="shared" si="85"/>
        <v xml:space="preserve"> 20.0% </v>
      </c>
      <c r="AM174" t="s">
        <v>765</v>
      </c>
      <c r="AN174" t="s">
        <v>0</v>
      </c>
      <c r="AO174" t="str">
        <f t="shared" si="86"/>
        <v xml:space="preserve"> 45.0% </v>
      </c>
      <c r="AP174" t="s">
        <v>1022</v>
      </c>
      <c r="AQ174" t="str">
        <f t="shared" si="87"/>
        <v xml:space="preserve"> Executive summaries </v>
      </c>
      <c r="AR174" t="str">
        <f t="shared" si="88"/>
        <v xml:space="preserve"> 18.0% </v>
      </c>
      <c r="AS174" t="s">
        <v>586</v>
      </c>
      <c r="AT174" t="str">
        <f t="shared" si="89"/>
        <v xml:space="preserve"> Executive summaries </v>
      </c>
      <c r="AU174" t="str">
        <f t="shared" si="90"/>
        <v xml:space="preserve"> 20.0% </v>
      </c>
      <c r="AV174" t="s">
        <v>1225</v>
      </c>
      <c r="AW174" t="str">
        <f t="shared" si="91"/>
        <v>Executive summaries</v>
      </c>
      <c r="AX174" t="str">
        <f t="shared" si="92"/>
        <v xml:space="preserve"> 35.0% </v>
      </c>
    </row>
    <row r="175" spans="1:50" x14ac:dyDescent="0.45">
      <c r="A175" t="s">
        <v>146</v>
      </c>
      <c r="B175" t="str">
        <f t="shared" si="62"/>
        <v xml:space="preserve"> Not used for reporting </v>
      </c>
      <c r="C175" t="str">
        <f t="shared" si="63"/>
        <v xml:space="preserve"> 12.0% </v>
      </c>
      <c r="D175" t="s">
        <v>308</v>
      </c>
      <c r="E175" t="str">
        <f t="shared" si="64"/>
        <v xml:space="preserve"> Not used for reporting </v>
      </c>
      <c r="F175" t="str">
        <f t="shared" si="65"/>
        <v xml:space="preserve"> 18.0% </v>
      </c>
      <c r="G175" t="s">
        <v>587</v>
      </c>
      <c r="H175" t="str">
        <f t="shared" si="66"/>
        <v xml:space="preserve"> Not used for reporting </v>
      </c>
      <c r="I175" t="str">
        <f t="shared" si="67"/>
        <v xml:space="preserve"> 22.0% </v>
      </c>
      <c r="J175" t="s">
        <v>400</v>
      </c>
      <c r="K175" t="str">
        <f t="shared" si="68"/>
        <v xml:space="preserve"> Not used for reporting </v>
      </c>
      <c r="L175" t="str">
        <f t="shared" si="69"/>
        <v xml:space="preserve"> 15.0% </v>
      </c>
      <c r="M175" t="s">
        <v>518</v>
      </c>
      <c r="N175" t="str">
        <f t="shared" si="70"/>
        <v xml:space="preserve"> Not used for reporting </v>
      </c>
      <c r="O175" t="str">
        <f t="shared" si="71"/>
        <v xml:space="preserve"> 24.0% </v>
      </c>
      <c r="P175" t="s">
        <v>308</v>
      </c>
      <c r="Q175" t="str">
        <f t="shared" si="72"/>
        <v xml:space="preserve"> Not used for reporting </v>
      </c>
      <c r="R175" t="str">
        <f t="shared" si="73"/>
        <v xml:space="preserve"> 18.0% </v>
      </c>
      <c r="S175" t="s">
        <v>587</v>
      </c>
      <c r="T175" t="str">
        <f t="shared" si="74"/>
        <v xml:space="preserve"> Not used for reporting </v>
      </c>
      <c r="U175" t="str">
        <f t="shared" si="75"/>
        <v xml:space="preserve"> 22.0% </v>
      </c>
      <c r="V175" t="s">
        <v>708</v>
      </c>
      <c r="W175" t="str">
        <f t="shared" si="76"/>
        <v xml:space="preserve"> Not used for reporting </v>
      </c>
      <c r="X175" t="str">
        <f t="shared" si="77"/>
        <v xml:space="preserve"> 20.0% </v>
      </c>
      <c r="Y175" t="s">
        <v>799</v>
      </c>
      <c r="Z175" t="str">
        <f t="shared" si="78"/>
        <v xml:space="preserve"> Not used for reporting </v>
      </c>
      <c r="AA175" t="str">
        <f t="shared" si="79"/>
        <v xml:space="preserve"> 40.0% </v>
      </c>
      <c r="AB175" t="s">
        <v>832</v>
      </c>
      <c r="AC175" t="str">
        <f t="shared" si="80"/>
        <v xml:space="preserve"> Not used for reporting </v>
      </c>
      <c r="AD175" t="str">
        <f t="shared" si="81"/>
        <v xml:space="preserve"> 30.0% </v>
      </c>
      <c r="AF175" t="s">
        <v>908</v>
      </c>
      <c r="AG175" t="str">
        <f t="shared" si="82"/>
        <v xml:space="preserve"> Not used for reporting </v>
      </c>
      <c r="AH175" t="str">
        <f t="shared" si="83"/>
        <v xml:space="preserve"> 28.0% </v>
      </c>
      <c r="AI175" t="s">
        <v>795</v>
      </c>
      <c r="AK175" t="str">
        <f t="shared" si="84"/>
        <v xml:space="preserve"> Not used for reporting </v>
      </c>
      <c r="AL175" t="str">
        <f t="shared" si="85"/>
        <v xml:space="preserve"> 25.0% </v>
      </c>
      <c r="AM175" t="s">
        <v>708</v>
      </c>
      <c r="AN175" t="s">
        <v>0</v>
      </c>
      <c r="AO175" t="str">
        <f t="shared" si="86"/>
        <v xml:space="preserve"> 20.0% </v>
      </c>
      <c r="AP175" t="s">
        <v>799</v>
      </c>
      <c r="AQ175" t="str">
        <f t="shared" si="87"/>
        <v xml:space="preserve"> Not used for reporting </v>
      </c>
      <c r="AR175" t="str">
        <f t="shared" si="88"/>
        <v xml:space="preserve"> 40.0% </v>
      </c>
      <c r="AS175" t="s">
        <v>146</v>
      </c>
      <c r="AT175" t="str">
        <f t="shared" si="89"/>
        <v xml:space="preserve"> Not used for reporting </v>
      </c>
      <c r="AU175" t="str">
        <f t="shared" si="90"/>
        <v xml:space="preserve"> 12.0% </v>
      </c>
      <c r="AV175" t="s">
        <v>1226</v>
      </c>
      <c r="AW175" t="str">
        <f t="shared" si="91"/>
        <v>Not used for reporting</v>
      </c>
      <c r="AX175" t="str">
        <f t="shared" si="92"/>
        <v xml:space="preserve"> 20.0% </v>
      </c>
    </row>
    <row r="176" spans="1:50" x14ac:dyDescent="0.45">
      <c r="A176" t="s">
        <v>76</v>
      </c>
      <c r="B176" t="str">
        <f t="shared" si="62"/>
        <v xml:space="preserve"> Other </v>
      </c>
      <c r="C176" t="str">
        <f t="shared" si="63"/>
        <v xml:space="preserve"> 5.0% </v>
      </c>
      <c r="D176" t="s">
        <v>275</v>
      </c>
      <c r="E176" t="str">
        <f t="shared" si="64"/>
        <v xml:space="preserve"> Other </v>
      </c>
      <c r="F176" t="str">
        <f t="shared" si="65"/>
        <v xml:space="preserve"> 8.0% </v>
      </c>
      <c r="G176" t="s">
        <v>275</v>
      </c>
      <c r="H176" t="str">
        <f t="shared" si="66"/>
        <v xml:space="preserve"> Other </v>
      </c>
      <c r="I176" t="str">
        <f t="shared" si="67"/>
        <v xml:space="preserve"> 8.0% </v>
      </c>
      <c r="J176" t="s">
        <v>96</v>
      </c>
      <c r="K176" t="str">
        <f t="shared" si="68"/>
        <v xml:space="preserve"> Other </v>
      </c>
      <c r="L176" t="str">
        <f t="shared" si="69"/>
        <v xml:space="preserve"> 10.0% </v>
      </c>
      <c r="M176" t="s">
        <v>76</v>
      </c>
      <c r="N176" t="str">
        <f t="shared" si="70"/>
        <v xml:space="preserve"> Other </v>
      </c>
      <c r="O176" t="str">
        <f t="shared" si="71"/>
        <v xml:space="preserve"> 5.0% </v>
      </c>
      <c r="P176" t="s">
        <v>233</v>
      </c>
      <c r="Q176" t="str">
        <f t="shared" si="72"/>
        <v xml:space="preserve"> Other </v>
      </c>
      <c r="R176" t="str">
        <f t="shared" si="73"/>
        <v xml:space="preserve"> 6.0% </v>
      </c>
      <c r="S176" t="s">
        <v>96</v>
      </c>
      <c r="T176" t="str">
        <f t="shared" si="74"/>
        <v xml:space="preserve"> Other </v>
      </c>
      <c r="U176" t="str">
        <f t="shared" si="75"/>
        <v xml:space="preserve"> 10.0% </v>
      </c>
      <c r="V176" t="s">
        <v>96</v>
      </c>
      <c r="W176" t="str">
        <f t="shared" si="76"/>
        <v xml:space="preserve"> Other </v>
      </c>
      <c r="X176" t="str">
        <f t="shared" si="77"/>
        <v xml:space="preserve"> 10.0% </v>
      </c>
      <c r="Y176" t="s">
        <v>96</v>
      </c>
      <c r="Z176" t="str">
        <f t="shared" si="78"/>
        <v xml:space="preserve"> Other </v>
      </c>
      <c r="AA176" t="str">
        <f t="shared" si="79"/>
        <v xml:space="preserve"> 10.0% </v>
      </c>
      <c r="AB176" t="s">
        <v>39</v>
      </c>
      <c r="AC176" t="str">
        <f t="shared" si="80"/>
        <v xml:space="preserve"> Other </v>
      </c>
      <c r="AD176" t="str">
        <f t="shared" si="81"/>
        <v xml:space="preserve"> 15.0% </v>
      </c>
      <c r="AF176" t="s">
        <v>275</v>
      </c>
      <c r="AG176" t="str">
        <f t="shared" si="82"/>
        <v xml:space="preserve"> Other </v>
      </c>
      <c r="AH176" t="str">
        <f t="shared" si="83"/>
        <v xml:space="preserve"> 8.0% </v>
      </c>
      <c r="AI176" t="s">
        <v>76</v>
      </c>
      <c r="AK176" t="str">
        <f t="shared" si="84"/>
        <v xml:space="preserve"> Other </v>
      </c>
      <c r="AL176" t="str">
        <f t="shared" si="85"/>
        <v xml:space="preserve"> 5.0% </v>
      </c>
      <c r="AM176" t="s">
        <v>76</v>
      </c>
      <c r="AN176" t="s">
        <v>0</v>
      </c>
      <c r="AO176" t="str">
        <f t="shared" si="86"/>
        <v xml:space="preserve"> 5.0% </v>
      </c>
      <c r="AP176" t="s">
        <v>96</v>
      </c>
      <c r="AQ176" t="str">
        <f t="shared" si="87"/>
        <v xml:space="preserve"> Other </v>
      </c>
      <c r="AR176" t="str">
        <f t="shared" si="88"/>
        <v xml:space="preserve"> 10.0% </v>
      </c>
      <c r="AS176" t="s">
        <v>275</v>
      </c>
      <c r="AT176" t="str">
        <f t="shared" si="89"/>
        <v xml:space="preserve"> Other </v>
      </c>
      <c r="AU176" t="str">
        <f t="shared" si="90"/>
        <v xml:space="preserve"> 8.0% </v>
      </c>
      <c r="AV176" t="s">
        <v>1202</v>
      </c>
      <c r="AW176" t="str">
        <f t="shared" si="91"/>
        <v>Other</v>
      </c>
      <c r="AX176" t="str">
        <f t="shared" si="92"/>
        <v xml:space="preserve"> 20.0% </v>
      </c>
    </row>
    <row r="177" spans="1:50" x14ac:dyDescent="0.45">
      <c r="A177" t="s">
        <v>147</v>
      </c>
      <c r="B177" t="str">
        <f t="shared" si="62"/>
        <v/>
      </c>
      <c r="C177" t="str">
        <f t="shared" si="63"/>
        <v/>
      </c>
      <c r="D177" t="s">
        <v>309</v>
      </c>
      <c r="E177" t="str">
        <f t="shared" si="64"/>
        <v/>
      </c>
      <c r="F177" t="str">
        <f t="shared" si="65"/>
        <v/>
      </c>
      <c r="G177" t="s">
        <v>147</v>
      </c>
      <c r="H177" t="str">
        <f t="shared" si="66"/>
        <v/>
      </c>
      <c r="I177" t="str">
        <f t="shared" si="67"/>
        <v/>
      </c>
      <c r="J177" t="s">
        <v>147</v>
      </c>
      <c r="K177" t="str">
        <f t="shared" si="68"/>
        <v/>
      </c>
      <c r="L177" t="str">
        <f t="shared" si="69"/>
        <v/>
      </c>
      <c r="M177" t="s">
        <v>147</v>
      </c>
      <c r="N177" t="str">
        <f t="shared" si="70"/>
        <v/>
      </c>
      <c r="O177" t="str">
        <f t="shared" si="71"/>
        <v/>
      </c>
      <c r="P177" t="s">
        <v>147</v>
      </c>
      <c r="Q177" t="str">
        <f t="shared" si="72"/>
        <v/>
      </c>
      <c r="R177" t="str">
        <f t="shared" si="73"/>
        <v/>
      </c>
      <c r="S177" t="s">
        <v>710</v>
      </c>
      <c r="T177" t="str">
        <f t="shared" si="74"/>
        <v/>
      </c>
      <c r="U177" t="str">
        <f t="shared" si="75"/>
        <v/>
      </c>
      <c r="V177" t="s">
        <v>710</v>
      </c>
      <c r="W177" t="str">
        <f t="shared" si="76"/>
        <v/>
      </c>
      <c r="X177" t="str">
        <f t="shared" si="77"/>
        <v/>
      </c>
      <c r="Y177" t="s">
        <v>147</v>
      </c>
      <c r="Z177" t="str">
        <f t="shared" si="78"/>
        <v/>
      </c>
      <c r="AA177" t="str">
        <f t="shared" si="79"/>
        <v/>
      </c>
      <c r="AB177" t="s">
        <v>147</v>
      </c>
      <c r="AC177" t="str">
        <f t="shared" si="80"/>
        <v/>
      </c>
      <c r="AD177" t="str">
        <f t="shared" si="81"/>
        <v/>
      </c>
      <c r="AF177" t="s">
        <v>147</v>
      </c>
      <c r="AG177" t="str">
        <f t="shared" si="82"/>
        <v/>
      </c>
      <c r="AH177" t="str">
        <f t="shared" si="83"/>
        <v/>
      </c>
      <c r="AI177" t="s">
        <v>147</v>
      </c>
      <c r="AK177" t="str">
        <f t="shared" si="84"/>
        <v/>
      </c>
      <c r="AL177" t="str">
        <f t="shared" si="85"/>
        <v/>
      </c>
      <c r="AM177" t="s">
        <v>147</v>
      </c>
      <c r="AN177" t="s">
        <v>0</v>
      </c>
      <c r="AO177" t="str">
        <f t="shared" si="86"/>
        <v/>
      </c>
      <c r="AP177" t="s">
        <v>147</v>
      </c>
      <c r="AQ177" t="str">
        <f t="shared" si="87"/>
        <v/>
      </c>
      <c r="AR177" t="str">
        <f t="shared" si="88"/>
        <v/>
      </c>
      <c r="AS177" t="s">
        <v>147</v>
      </c>
      <c r="AT177" t="str">
        <f t="shared" si="89"/>
        <v/>
      </c>
      <c r="AU177" t="str">
        <f t="shared" si="90"/>
        <v/>
      </c>
      <c r="AV177" t="s">
        <v>1227</v>
      </c>
      <c r="AW177" t="str">
        <f t="shared" si="91"/>
        <v/>
      </c>
      <c r="AX177" t="str">
        <f t="shared" si="92"/>
        <v/>
      </c>
    </row>
    <row r="178" spans="1:50" x14ac:dyDescent="0.45">
      <c r="A178" t="s">
        <v>41</v>
      </c>
      <c r="B178" t="str">
        <f t="shared" si="62"/>
        <v/>
      </c>
      <c r="C178" t="str">
        <f t="shared" si="63"/>
        <v/>
      </c>
      <c r="D178" t="s">
        <v>212</v>
      </c>
      <c r="E178" t="str">
        <f t="shared" si="64"/>
        <v/>
      </c>
      <c r="F178" t="str">
        <f t="shared" si="65"/>
        <v/>
      </c>
      <c r="G178" t="s">
        <v>41</v>
      </c>
      <c r="H178" t="str">
        <f t="shared" si="66"/>
        <v/>
      </c>
      <c r="I178" t="str">
        <f t="shared" si="67"/>
        <v/>
      </c>
      <c r="J178" t="s">
        <v>41</v>
      </c>
      <c r="K178" t="str">
        <f t="shared" si="68"/>
        <v/>
      </c>
      <c r="L178" t="str">
        <f t="shared" si="69"/>
        <v/>
      </c>
      <c r="M178" t="s">
        <v>41</v>
      </c>
      <c r="N178" t="str">
        <f t="shared" si="70"/>
        <v/>
      </c>
      <c r="O178" t="str">
        <f t="shared" si="71"/>
        <v/>
      </c>
      <c r="P178" t="s">
        <v>41</v>
      </c>
      <c r="Q178" t="str">
        <f t="shared" si="72"/>
        <v/>
      </c>
      <c r="R178" t="str">
        <f t="shared" si="73"/>
        <v/>
      </c>
      <c r="S178" t="s">
        <v>41</v>
      </c>
      <c r="T178" t="str">
        <f t="shared" si="74"/>
        <v/>
      </c>
      <c r="U178" t="str">
        <f t="shared" si="75"/>
        <v/>
      </c>
      <c r="V178" t="s">
        <v>41</v>
      </c>
      <c r="W178" t="str">
        <f t="shared" si="76"/>
        <v/>
      </c>
      <c r="X178" t="str">
        <f t="shared" si="77"/>
        <v/>
      </c>
      <c r="Y178" t="s">
        <v>41</v>
      </c>
      <c r="Z178" t="str">
        <f t="shared" si="78"/>
        <v/>
      </c>
      <c r="AA178" t="str">
        <f t="shared" si="79"/>
        <v/>
      </c>
      <c r="AB178" t="s">
        <v>41</v>
      </c>
      <c r="AC178" t="str">
        <f t="shared" si="80"/>
        <v/>
      </c>
      <c r="AD178" t="str">
        <f t="shared" si="81"/>
        <v/>
      </c>
      <c r="AF178" t="s">
        <v>41</v>
      </c>
      <c r="AG178" t="str">
        <f t="shared" si="82"/>
        <v/>
      </c>
      <c r="AH178" t="str">
        <f t="shared" si="83"/>
        <v/>
      </c>
      <c r="AI178" t="s">
        <v>41</v>
      </c>
      <c r="AK178" t="str">
        <f t="shared" si="84"/>
        <v/>
      </c>
      <c r="AL178" t="str">
        <f t="shared" si="85"/>
        <v/>
      </c>
      <c r="AM178" t="s">
        <v>41</v>
      </c>
      <c r="AN178" t="s">
        <v>0</v>
      </c>
      <c r="AO178" t="str">
        <f t="shared" si="86"/>
        <v/>
      </c>
      <c r="AP178" t="s">
        <v>41</v>
      </c>
      <c r="AQ178" t="str">
        <f t="shared" si="87"/>
        <v/>
      </c>
      <c r="AR178" t="str">
        <f t="shared" si="88"/>
        <v/>
      </c>
      <c r="AS178" t="s">
        <v>41</v>
      </c>
      <c r="AT178" t="str">
        <f t="shared" si="89"/>
        <v/>
      </c>
      <c r="AU178" t="str">
        <f t="shared" si="90"/>
        <v/>
      </c>
      <c r="AV178" t="s">
        <v>1118</v>
      </c>
      <c r="AW178" t="str">
        <f t="shared" si="91"/>
        <v/>
      </c>
      <c r="AX178" t="str">
        <f t="shared" si="92"/>
        <v/>
      </c>
    </row>
    <row r="179" spans="1:50" x14ac:dyDescent="0.45">
      <c r="A179" t="s">
        <v>148</v>
      </c>
      <c r="B179" t="str">
        <f t="shared" si="62"/>
        <v xml:space="preserve"> Data quality / availability </v>
      </c>
      <c r="C179" t="str">
        <f t="shared" si="63"/>
        <v xml:space="preserve"> 40.0% </v>
      </c>
      <c r="D179" t="s">
        <v>310</v>
      </c>
      <c r="E179" t="str">
        <f t="shared" si="64"/>
        <v xml:space="preserve"> Data quality / availability </v>
      </c>
      <c r="F179" t="str">
        <f t="shared" si="65"/>
        <v xml:space="preserve"> 32.0% </v>
      </c>
      <c r="G179" t="s">
        <v>155</v>
      </c>
      <c r="H179" t="str">
        <f t="shared" si="66"/>
        <v xml:space="preserve"> Data quality / availability </v>
      </c>
      <c r="I179" t="str">
        <f t="shared" si="67"/>
        <v xml:space="preserve"> 30.0% </v>
      </c>
      <c r="J179" t="s">
        <v>401</v>
      </c>
      <c r="K179" t="str">
        <f t="shared" si="68"/>
        <v xml:space="preserve"> Data quality / availability </v>
      </c>
      <c r="L179" t="str">
        <f t="shared" si="69"/>
        <v xml:space="preserve"> 25.0% </v>
      </c>
      <c r="M179" t="s">
        <v>155</v>
      </c>
      <c r="N179" t="str">
        <f t="shared" si="70"/>
        <v xml:space="preserve"> Data quality / availability </v>
      </c>
      <c r="O179" t="str">
        <f t="shared" si="71"/>
        <v xml:space="preserve"> 30.0% </v>
      </c>
      <c r="P179" t="s">
        <v>161</v>
      </c>
      <c r="Q179" t="str">
        <f t="shared" si="72"/>
        <v xml:space="preserve"> Data quality / availability </v>
      </c>
      <c r="R179" t="str">
        <f t="shared" si="73"/>
        <v xml:space="preserve"> 35.0% </v>
      </c>
      <c r="S179" t="s">
        <v>310</v>
      </c>
      <c r="T179" t="str">
        <f t="shared" si="74"/>
        <v xml:space="preserve"> Data quality / availability </v>
      </c>
      <c r="U179" t="str">
        <f t="shared" si="75"/>
        <v xml:space="preserve"> 32.0% </v>
      </c>
      <c r="V179" t="s">
        <v>161</v>
      </c>
      <c r="W179" t="str">
        <f t="shared" si="76"/>
        <v xml:space="preserve"> Data quality / availability </v>
      </c>
      <c r="X179" t="str">
        <f t="shared" si="77"/>
        <v xml:space="preserve"> 35.0% </v>
      </c>
      <c r="Y179" t="s">
        <v>155</v>
      </c>
      <c r="Z179" t="str">
        <f t="shared" si="78"/>
        <v xml:space="preserve"> Data quality / availability </v>
      </c>
      <c r="AA179" t="str">
        <f t="shared" si="79"/>
        <v xml:space="preserve"> 30.0% </v>
      </c>
      <c r="AB179" t="s">
        <v>161</v>
      </c>
      <c r="AC179" t="str">
        <f t="shared" si="80"/>
        <v xml:space="preserve"> Data quality / availability </v>
      </c>
      <c r="AD179" t="str">
        <f t="shared" si="81"/>
        <v xml:space="preserve"> 35.0% </v>
      </c>
      <c r="AF179" t="s">
        <v>319</v>
      </c>
      <c r="AG179" t="str">
        <f t="shared" si="82"/>
        <v xml:space="preserve"> Data quality / availability </v>
      </c>
      <c r="AH179" t="str">
        <f t="shared" si="83"/>
        <v xml:space="preserve"> 28.0% </v>
      </c>
      <c r="AI179" t="s">
        <v>967</v>
      </c>
      <c r="AK179" t="str">
        <f t="shared" si="84"/>
        <v xml:space="preserve"> Data quality / availability </v>
      </c>
      <c r="AL179" t="str">
        <f t="shared" si="85"/>
        <v xml:space="preserve"> 42.0% </v>
      </c>
      <c r="AM179" t="s">
        <v>148</v>
      </c>
      <c r="AN179" t="s">
        <v>0</v>
      </c>
      <c r="AO179" t="str">
        <f t="shared" si="86"/>
        <v xml:space="preserve"> 40.0% </v>
      </c>
      <c r="AP179" t="s">
        <v>319</v>
      </c>
      <c r="AQ179" t="str">
        <f t="shared" si="87"/>
        <v xml:space="preserve"> Data quality / availability </v>
      </c>
      <c r="AR179" t="str">
        <f t="shared" si="88"/>
        <v xml:space="preserve"> 28.0% </v>
      </c>
      <c r="AS179" t="s">
        <v>155</v>
      </c>
      <c r="AT179" t="str">
        <f t="shared" si="89"/>
        <v xml:space="preserve"> Data quality / availability </v>
      </c>
      <c r="AU179" t="str">
        <f t="shared" si="90"/>
        <v xml:space="preserve"> 30.0% </v>
      </c>
      <c r="AV179" t="s">
        <v>1228</v>
      </c>
      <c r="AW179" t="str">
        <f t="shared" si="91"/>
        <v>Data quality / availability</v>
      </c>
      <c r="AX179" t="str">
        <f t="shared" si="92"/>
        <v xml:space="preserve"> 40.0% </v>
      </c>
    </row>
    <row r="180" spans="1:50" x14ac:dyDescent="0.45">
      <c r="A180" t="s">
        <v>149</v>
      </c>
      <c r="B180" t="str">
        <f t="shared" si="62"/>
        <v xml:space="preserve"> Explainability &amp; trust </v>
      </c>
      <c r="C180" t="str">
        <f t="shared" si="63"/>
        <v xml:space="preserve"> 15.0% </v>
      </c>
      <c r="D180" t="s">
        <v>311</v>
      </c>
      <c r="E180" t="str">
        <f t="shared" si="64"/>
        <v xml:space="preserve"> Explainability &amp; trust </v>
      </c>
      <c r="F180" t="str">
        <f t="shared" si="65"/>
        <v xml:space="preserve"> 18.0% </v>
      </c>
      <c r="G180" t="s">
        <v>588</v>
      </c>
      <c r="H180" t="str">
        <f t="shared" si="66"/>
        <v xml:space="preserve"> Explainability &amp; trust </v>
      </c>
      <c r="I180" t="str">
        <f t="shared" si="67"/>
        <v xml:space="preserve"> 12.0% </v>
      </c>
      <c r="J180" t="s">
        <v>402</v>
      </c>
      <c r="K180" t="str">
        <f t="shared" si="68"/>
        <v xml:space="preserve"> Explainability &amp; trust </v>
      </c>
      <c r="L180" t="str">
        <f t="shared" si="69"/>
        <v xml:space="preserve"> 20.0% </v>
      </c>
      <c r="M180" t="s">
        <v>320</v>
      </c>
      <c r="N180" t="str">
        <f t="shared" si="70"/>
        <v xml:space="preserve"> Explainability &amp; trust </v>
      </c>
      <c r="O180" t="str">
        <f t="shared" si="71"/>
        <v xml:space="preserve"> 16.0% </v>
      </c>
      <c r="P180" t="s">
        <v>311</v>
      </c>
      <c r="Q180" t="str">
        <f t="shared" si="72"/>
        <v xml:space="preserve"> Explainability &amp; trust </v>
      </c>
      <c r="R180" t="str">
        <f t="shared" si="73"/>
        <v xml:space="preserve"> 18.0% </v>
      </c>
      <c r="S180" t="s">
        <v>311</v>
      </c>
      <c r="T180" t="str">
        <f t="shared" si="74"/>
        <v xml:space="preserve"> Explainability &amp; trust </v>
      </c>
      <c r="U180" t="str">
        <f t="shared" si="75"/>
        <v xml:space="preserve"> 18.0% </v>
      </c>
      <c r="V180" t="s">
        <v>149</v>
      </c>
      <c r="W180" t="str">
        <f t="shared" si="76"/>
        <v xml:space="preserve"> Explainability &amp; trust </v>
      </c>
      <c r="X180" t="str">
        <f t="shared" si="77"/>
        <v xml:space="preserve"> 15.0% </v>
      </c>
      <c r="Y180" t="s">
        <v>402</v>
      </c>
      <c r="Z180" t="str">
        <f t="shared" si="78"/>
        <v xml:space="preserve"> Explainability &amp; trust </v>
      </c>
      <c r="AA180" t="str">
        <f t="shared" si="79"/>
        <v xml:space="preserve"> 20.0% </v>
      </c>
      <c r="AB180" t="s">
        <v>149</v>
      </c>
      <c r="AC180" t="str">
        <f t="shared" si="80"/>
        <v xml:space="preserve"> Explainability &amp; trust </v>
      </c>
      <c r="AD180" t="str">
        <f t="shared" si="81"/>
        <v xml:space="preserve"> 15.0% </v>
      </c>
      <c r="AF180" t="s">
        <v>645</v>
      </c>
      <c r="AG180" t="str">
        <f t="shared" si="82"/>
        <v xml:space="preserve"> Explainability &amp; trust </v>
      </c>
      <c r="AH180" t="str">
        <f t="shared" si="83"/>
        <v xml:space="preserve"> 22.0% </v>
      </c>
      <c r="AI180" t="s">
        <v>149</v>
      </c>
      <c r="AK180" t="str">
        <f t="shared" si="84"/>
        <v xml:space="preserve"> Explainability &amp; trust </v>
      </c>
      <c r="AL180" t="str">
        <f t="shared" si="85"/>
        <v xml:space="preserve"> 15.0% </v>
      </c>
      <c r="AM180" t="s">
        <v>149</v>
      </c>
      <c r="AN180" t="s">
        <v>0</v>
      </c>
      <c r="AO180" t="str">
        <f t="shared" si="86"/>
        <v xml:space="preserve"> 15.0% </v>
      </c>
      <c r="AP180" t="s">
        <v>1026</v>
      </c>
      <c r="AQ180" t="str">
        <f t="shared" si="87"/>
        <v xml:space="preserve"> Explainability &amp; trust </v>
      </c>
      <c r="AR180" t="str">
        <f t="shared" si="88"/>
        <v xml:space="preserve"> 14.0% </v>
      </c>
      <c r="AS180" t="s">
        <v>311</v>
      </c>
      <c r="AT180" t="str">
        <f t="shared" si="89"/>
        <v xml:space="preserve"> Explainability &amp; trust </v>
      </c>
      <c r="AU180" t="str">
        <f t="shared" si="90"/>
        <v xml:space="preserve"> 18.0% </v>
      </c>
      <c r="AV180" t="s">
        <v>1229</v>
      </c>
      <c r="AW180" t="str">
        <f t="shared" si="91"/>
        <v>Explainability &amp; trust</v>
      </c>
      <c r="AX180" t="str">
        <f t="shared" si="92"/>
        <v xml:space="preserve"> 25.0% </v>
      </c>
    </row>
    <row r="181" spans="1:50" x14ac:dyDescent="0.45">
      <c r="A181" t="s">
        <v>150</v>
      </c>
      <c r="B181" t="str">
        <f t="shared" si="62"/>
        <v xml:space="preserve"> Skills &amp; expertise </v>
      </c>
      <c r="C181" t="str">
        <f t="shared" si="63"/>
        <v xml:space="preserve"> 20.0% </v>
      </c>
      <c r="D181" t="s">
        <v>312</v>
      </c>
      <c r="E181" t="str">
        <f t="shared" si="64"/>
        <v xml:space="preserve"> Skills &amp; expertise </v>
      </c>
      <c r="F181" t="str">
        <f t="shared" si="65"/>
        <v xml:space="preserve"> 16.0% </v>
      </c>
      <c r="G181" t="s">
        <v>150</v>
      </c>
      <c r="H181" t="str">
        <f t="shared" si="66"/>
        <v xml:space="preserve"> Skills &amp; expertise </v>
      </c>
      <c r="I181" t="str">
        <f t="shared" si="67"/>
        <v xml:space="preserve"> 20.0% </v>
      </c>
      <c r="J181" t="s">
        <v>157</v>
      </c>
      <c r="K181" t="str">
        <f t="shared" si="68"/>
        <v xml:space="preserve"> Skills &amp; expertise </v>
      </c>
      <c r="L181" t="str">
        <f t="shared" si="69"/>
        <v xml:space="preserve"> 15.0% </v>
      </c>
      <c r="M181" t="s">
        <v>317</v>
      </c>
      <c r="N181" t="str">
        <f t="shared" si="70"/>
        <v xml:space="preserve"> Skills &amp; expertise </v>
      </c>
      <c r="O181" t="str">
        <f t="shared" si="71"/>
        <v xml:space="preserve"> 14.0% </v>
      </c>
      <c r="P181" t="s">
        <v>644</v>
      </c>
      <c r="Q181" t="str">
        <f t="shared" si="72"/>
        <v xml:space="preserve"> Skills &amp; expertise </v>
      </c>
      <c r="R181" t="str">
        <f t="shared" si="73"/>
        <v xml:space="preserve"> 12.0% </v>
      </c>
      <c r="S181" t="s">
        <v>157</v>
      </c>
      <c r="T181" t="str">
        <f t="shared" si="74"/>
        <v xml:space="preserve"> Skills &amp; expertise </v>
      </c>
      <c r="U181" t="str">
        <f t="shared" si="75"/>
        <v xml:space="preserve"> 15.0% </v>
      </c>
      <c r="V181" t="s">
        <v>150</v>
      </c>
      <c r="W181" t="str">
        <f t="shared" si="76"/>
        <v xml:space="preserve"> Skills &amp; expertise </v>
      </c>
      <c r="X181" t="str">
        <f t="shared" si="77"/>
        <v xml:space="preserve"> 20.0% </v>
      </c>
      <c r="Y181" t="s">
        <v>157</v>
      </c>
      <c r="Z181" t="str">
        <f t="shared" si="78"/>
        <v xml:space="preserve"> Skills &amp; expertise </v>
      </c>
      <c r="AA181" t="str">
        <f t="shared" si="79"/>
        <v xml:space="preserve"> 15.0% </v>
      </c>
      <c r="AB181" t="s">
        <v>150</v>
      </c>
      <c r="AC181" t="str">
        <f t="shared" si="80"/>
        <v xml:space="preserve"> Skills &amp; expertise </v>
      </c>
      <c r="AD181" t="str">
        <f t="shared" si="81"/>
        <v xml:space="preserve"> 20.0% </v>
      </c>
      <c r="AF181" t="s">
        <v>526</v>
      </c>
      <c r="AG181" t="str">
        <f t="shared" si="82"/>
        <v xml:space="preserve"> Skills &amp; expertise </v>
      </c>
      <c r="AH181" t="str">
        <f t="shared" si="83"/>
        <v xml:space="preserve"> 18.0% </v>
      </c>
      <c r="AI181" t="s">
        <v>150</v>
      </c>
      <c r="AK181" t="str">
        <f t="shared" si="84"/>
        <v xml:space="preserve"> Skills &amp; expertise </v>
      </c>
      <c r="AL181" t="str">
        <f t="shared" si="85"/>
        <v xml:space="preserve"> 20.0% </v>
      </c>
      <c r="AM181" t="s">
        <v>157</v>
      </c>
      <c r="AN181" t="s">
        <v>0</v>
      </c>
      <c r="AO181" t="str">
        <f t="shared" si="86"/>
        <v xml:space="preserve"> 15.0% </v>
      </c>
      <c r="AP181" t="s">
        <v>312</v>
      </c>
      <c r="AQ181" t="str">
        <f t="shared" si="87"/>
        <v xml:space="preserve"> Skills &amp; expertise </v>
      </c>
      <c r="AR181" t="str">
        <f t="shared" si="88"/>
        <v xml:space="preserve"> 16.0% </v>
      </c>
      <c r="AS181" t="s">
        <v>157</v>
      </c>
      <c r="AT181" t="str">
        <f t="shared" si="89"/>
        <v xml:space="preserve"> Skills &amp; expertise </v>
      </c>
      <c r="AU181" t="str">
        <f t="shared" si="90"/>
        <v xml:space="preserve"> 15.0% </v>
      </c>
      <c r="AV181" t="s">
        <v>1230</v>
      </c>
      <c r="AW181" t="str">
        <f t="shared" si="91"/>
        <v>Skills &amp; expertise</v>
      </c>
      <c r="AX181" t="str">
        <f t="shared" si="92"/>
        <v xml:space="preserve"> 30.0% </v>
      </c>
    </row>
    <row r="182" spans="1:50" x14ac:dyDescent="0.45">
      <c r="A182" t="s">
        <v>151</v>
      </c>
      <c r="B182" t="str">
        <f t="shared" si="62"/>
        <v xml:space="preserve"> Integration with existing systems </v>
      </c>
      <c r="C182" t="str">
        <f t="shared" si="63"/>
        <v xml:space="preserve"> 15.0% </v>
      </c>
      <c r="D182" t="s">
        <v>158</v>
      </c>
      <c r="E182" t="str">
        <f t="shared" si="64"/>
        <v xml:space="preserve"> Integration with existing systems </v>
      </c>
      <c r="F182" t="str">
        <f t="shared" si="65"/>
        <v xml:space="preserve"> 20.0% </v>
      </c>
      <c r="G182" t="s">
        <v>321</v>
      </c>
      <c r="H182" t="str">
        <f t="shared" si="66"/>
        <v xml:space="preserve"> Integration with existing systems </v>
      </c>
      <c r="I182" t="str">
        <f t="shared" si="67"/>
        <v xml:space="preserve"> 18.0% </v>
      </c>
      <c r="J182" t="s">
        <v>158</v>
      </c>
      <c r="K182" t="str">
        <f t="shared" si="68"/>
        <v xml:space="preserve"> Integration with existing systems </v>
      </c>
      <c r="L182" t="str">
        <f t="shared" si="69"/>
        <v xml:space="preserve"> 20.0% </v>
      </c>
      <c r="M182" t="s">
        <v>158</v>
      </c>
      <c r="N182" t="str">
        <f t="shared" si="70"/>
        <v xml:space="preserve"> Integration with existing systems </v>
      </c>
      <c r="O182" t="str">
        <f t="shared" si="71"/>
        <v xml:space="preserve"> 20.0% </v>
      </c>
      <c r="P182" t="s">
        <v>321</v>
      </c>
      <c r="Q182" t="str">
        <f t="shared" si="72"/>
        <v xml:space="preserve"> Integration with existing systems </v>
      </c>
      <c r="R182" t="str">
        <f t="shared" si="73"/>
        <v xml:space="preserve"> 18.0% </v>
      </c>
      <c r="S182" t="s">
        <v>151</v>
      </c>
      <c r="T182" t="str">
        <f t="shared" si="74"/>
        <v xml:space="preserve"> Integration with existing systems </v>
      </c>
      <c r="U182" t="str">
        <f t="shared" si="75"/>
        <v xml:space="preserve"> 15.0% </v>
      </c>
      <c r="V182" t="s">
        <v>767</v>
      </c>
      <c r="W182" t="str">
        <f t="shared" si="76"/>
        <v xml:space="preserve"> Integration with existing systems </v>
      </c>
      <c r="X182" t="str">
        <f t="shared" si="77"/>
        <v xml:space="preserve"> 12.0% </v>
      </c>
      <c r="Y182" t="s">
        <v>151</v>
      </c>
      <c r="Z182" t="str">
        <f t="shared" si="78"/>
        <v xml:space="preserve"> Integration with existing systems </v>
      </c>
      <c r="AA182" t="str">
        <f t="shared" si="79"/>
        <v xml:space="preserve"> 15.0% </v>
      </c>
      <c r="AB182" t="s">
        <v>321</v>
      </c>
      <c r="AC182" t="str">
        <f t="shared" si="80"/>
        <v xml:space="preserve"> Integration with existing systems </v>
      </c>
      <c r="AD182" t="str">
        <f t="shared" si="81"/>
        <v xml:space="preserve"> 18.0% </v>
      </c>
      <c r="AF182" t="s">
        <v>523</v>
      </c>
      <c r="AG182" t="str">
        <f t="shared" si="82"/>
        <v xml:space="preserve"> Integration with existing systems </v>
      </c>
      <c r="AH182" t="str">
        <f t="shared" si="83"/>
        <v xml:space="preserve"> 16.0% </v>
      </c>
      <c r="AI182" t="s">
        <v>767</v>
      </c>
      <c r="AK182" t="str">
        <f t="shared" si="84"/>
        <v xml:space="preserve"> Integration with existing systems </v>
      </c>
      <c r="AL182" t="str">
        <f t="shared" si="85"/>
        <v xml:space="preserve"> 12.0% </v>
      </c>
      <c r="AM182" t="s">
        <v>158</v>
      </c>
      <c r="AN182" t="s">
        <v>0</v>
      </c>
      <c r="AO182" t="str">
        <f t="shared" si="86"/>
        <v xml:space="preserve"> 20.0% </v>
      </c>
      <c r="AP182" t="s">
        <v>527</v>
      </c>
      <c r="AQ182" t="str">
        <f t="shared" si="87"/>
        <v xml:space="preserve"> Integration with existing systems </v>
      </c>
      <c r="AR182" t="str">
        <f t="shared" si="88"/>
        <v xml:space="preserve"> 19.0% </v>
      </c>
      <c r="AS182" t="s">
        <v>1070</v>
      </c>
      <c r="AT182" t="str">
        <f t="shared" si="89"/>
        <v xml:space="preserve"> Integration with existing systems </v>
      </c>
      <c r="AU182" t="str">
        <f t="shared" si="90"/>
        <v xml:space="preserve"> 17.0% </v>
      </c>
      <c r="AV182" t="s">
        <v>1231</v>
      </c>
      <c r="AW182" t="str">
        <f t="shared" si="91"/>
        <v>Integration with existing systems</v>
      </c>
      <c r="AX182" t="str">
        <f t="shared" si="92"/>
        <v xml:space="preserve"> 35.0% </v>
      </c>
    </row>
    <row r="183" spans="1:50" x14ac:dyDescent="0.45">
      <c r="A183" t="s">
        <v>152</v>
      </c>
      <c r="B183" t="str">
        <f t="shared" si="62"/>
        <v xml:space="preserve"> Cost / ROI justification </v>
      </c>
      <c r="C183" t="str">
        <f t="shared" si="63"/>
        <v xml:space="preserve"> 8.0% </v>
      </c>
      <c r="D183" t="s">
        <v>152</v>
      </c>
      <c r="E183" t="str">
        <f t="shared" si="64"/>
        <v xml:space="preserve"> Cost / ROI justification </v>
      </c>
      <c r="F183" t="str">
        <f t="shared" si="65"/>
        <v xml:space="preserve"> 8.0% </v>
      </c>
      <c r="G183" t="s">
        <v>322</v>
      </c>
      <c r="H183" t="str">
        <f t="shared" si="66"/>
        <v xml:space="preserve"> Cost / ROI justification </v>
      </c>
      <c r="I183" t="str">
        <f t="shared" si="67"/>
        <v xml:space="preserve"> 12.0% </v>
      </c>
      <c r="J183" t="s">
        <v>164</v>
      </c>
      <c r="K183" t="str">
        <f t="shared" si="68"/>
        <v xml:space="preserve"> Cost / ROI justification </v>
      </c>
      <c r="L183" t="str">
        <f t="shared" si="69"/>
        <v xml:space="preserve"> 10.0% </v>
      </c>
      <c r="M183" t="s">
        <v>519</v>
      </c>
      <c r="N183" t="str">
        <f t="shared" si="70"/>
        <v xml:space="preserve"> Cost / ROI justification </v>
      </c>
      <c r="O183" t="str">
        <f t="shared" si="71"/>
        <v xml:space="preserve"> 13.0% </v>
      </c>
      <c r="P183" t="s">
        <v>164</v>
      </c>
      <c r="Q183" t="str">
        <f t="shared" si="72"/>
        <v xml:space="preserve"> Cost / ROI justification </v>
      </c>
      <c r="R183" t="str">
        <f t="shared" si="73"/>
        <v xml:space="preserve"> 10.0% </v>
      </c>
      <c r="S183" t="s">
        <v>322</v>
      </c>
      <c r="T183" t="str">
        <f t="shared" si="74"/>
        <v xml:space="preserve"> Cost / ROI justification </v>
      </c>
      <c r="U183" t="str">
        <f t="shared" si="75"/>
        <v xml:space="preserve"> 12.0% </v>
      </c>
      <c r="V183" t="s">
        <v>164</v>
      </c>
      <c r="W183" t="str">
        <f t="shared" si="76"/>
        <v xml:space="preserve"> Cost / ROI justification </v>
      </c>
      <c r="X183" t="str">
        <f t="shared" si="77"/>
        <v xml:space="preserve"> 10.0% </v>
      </c>
      <c r="Y183" t="s">
        <v>164</v>
      </c>
      <c r="Z183" t="str">
        <f t="shared" si="78"/>
        <v xml:space="preserve"> Cost / ROI justification </v>
      </c>
      <c r="AA183" t="str">
        <f t="shared" si="79"/>
        <v xml:space="preserve"> 10.0% </v>
      </c>
      <c r="AB183" t="s">
        <v>152</v>
      </c>
      <c r="AC183" t="str">
        <f t="shared" si="80"/>
        <v xml:space="preserve"> Cost / ROI justification </v>
      </c>
      <c r="AD183" t="str">
        <f t="shared" si="81"/>
        <v xml:space="preserve"> 8.0% </v>
      </c>
      <c r="AF183" t="s">
        <v>322</v>
      </c>
      <c r="AG183" t="str">
        <f t="shared" si="82"/>
        <v xml:space="preserve"> Cost / ROI justification </v>
      </c>
      <c r="AH183" t="str">
        <f t="shared" si="83"/>
        <v xml:space="preserve"> 12.0% </v>
      </c>
      <c r="AI183" t="s">
        <v>152</v>
      </c>
      <c r="AK183" t="str">
        <f t="shared" si="84"/>
        <v xml:space="preserve"> Cost / ROI justification </v>
      </c>
      <c r="AL183" t="str">
        <f t="shared" si="85"/>
        <v xml:space="preserve"> 8.0% </v>
      </c>
      <c r="AM183" t="s">
        <v>937</v>
      </c>
      <c r="AN183" t="s">
        <v>0</v>
      </c>
      <c r="AO183" t="str">
        <f t="shared" si="86"/>
        <v xml:space="preserve"> 7.0% </v>
      </c>
      <c r="AP183" t="s">
        <v>1027</v>
      </c>
      <c r="AQ183" t="str">
        <f t="shared" si="87"/>
        <v xml:space="preserve"> Cost / ROI justification </v>
      </c>
      <c r="AR183" t="str">
        <f t="shared" si="88"/>
        <v xml:space="preserve"> 16.0% </v>
      </c>
      <c r="AS183" t="s">
        <v>322</v>
      </c>
      <c r="AT183" t="str">
        <f t="shared" si="89"/>
        <v xml:space="preserve"> Cost / ROI justification </v>
      </c>
      <c r="AU183" t="str">
        <f t="shared" si="90"/>
        <v xml:space="preserve"> 12.0% </v>
      </c>
      <c r="AV183" t="s">
        <v>1232</v>
      </c>
      <c r="AW183" t="str">
        <f t="shared" si="91"/>
        <v>Cost / ROI justification</v>
      </c>
      <c r="AX183" t="str">
        <f t="shared" si="92"/>
        <v xml:space="preserve"> 40.0% </v>
      </c>
    </row>
    <row r="184" spans="1:50" x14ac:dyDescent="0.45">
      <c r="A184" t="s">
        <v>153</v>
      </c>
      <c r="B184" t="str">
        <f t="shared" si="62"/>
        <v xml:space="preserve"> Regulatory / compliance concerns </v>
      </c>
      <c r="C184" t="str">
        <f t="shared" si="63"/>
        <v xml:space="preserve"> 2.0% </v>
      </c>
      <c r="D184" t="s">
        <v>313</v>
      </c>
      <c r="E184" t="str">
        <f t="shared" si="64"/>
        <v xml:space="preserve"> Regulatory / compliance concerns </v>
      </c>
      <c r="F184" t="str">
        <f t="shared" si="65"/>
        <v xml:space="preserve"> 4.0% </v>
      </c>
      <c r="G184" t="s">
        <v>160</v>
      </c>
      <c r="H184" t="str">
        <f t="shared" si="66"/>
        <v xml:space="preserve"> Regulatory / compliance concerns </v>
      </c>
      <c r="I184" t="str">
        <f t="shared" si="67"/>
        <v xml:space="preserve"> 5.0% </v>
      </c>
      <c r="J184" t="s">
        <v>160</v>
      </c>
      <c r="K184" t="str">
        <f t="shared" si="68"/>
        <v xml:space="preserve"> Regulatory / compliance concerns </v>
      </c>
      <c r="L184" t="str">
        <f t="shared" si="69"/>
        <v xml:space="preserve"> 5.0% </v>
      </c>
      <c r="M184" t="s">
        <v>160</v>
      </c>
      <c r="N184" t="str">
        <f t="shared" si="70"/>
        <v xml:space="preserve"> Regulatory / compliance concerns </v>
      </c>
      <c r="O184" t="str">
        <f t="shared" si="71"/>
        <v xml:space="preserve"> 5.0% </v>
      </c>
      <c r="P184" t="s">
        <v>160</v>
      </c>
      <c r="Q184" t="str">
        <f t="shared" si="72"/>
        <v xml:space="preserve"> Regulatory / compliance concerns </v>
      </c>
      <c r="R184" t="str">
        <f t="shared" si="73"/>
        <v xml:space="preserve"> 5.0% </v>
      </c>
      <c r="S184" t="s">
        <v>160</v>
      </c>
      <c r="T184" t="str">
        <f t="shared" si="74"/>
        <v xml:space="preserve"> Regulatory / compliance concerns </v>
      </c>
      <c r="U184" t="str">
        <f t="shared" si="75"/>
        <v xml:space="preserve"> 5.0% </v>
      </c>
      <c r="V184" t="s">
        <v>160</v>
      </c>
      <c r="W184" t="str">
        <f t="shared" si="76"/>
        <v xml:space="preserve"> Regulatory / compliance concerns </v>
      </c>
      <c r="X184" t="str">
        <f t="shared" si="77"/>
        <v xml:space="preserve"> 5.0% </v>
      </c>
      <c r="Y184" t="s">
        <v>160</v>
      </c>
      <c r="Z184" t="str">
        <f t="shared" si="78"/>
        <v xml:space="preserve"> Regulatory / compliance concerns </v>
      </c>
      <c r="AA184" t="str">
        <f t="shared" si="79"/>
        <v xml:space="preserve"> 5.0% </v>
      </c>
      <c r="AB184" t="s">
        <v>153</v>
      </c>
      <c r="AC184" t="str">
        <f t="shared" si="80"/>
        <v xml:space="preserve"> Regulatory / compliance concerns </v>
      </c>
      <c r="AD184" t="str">
        <f t="shared" si="81"/>
        <v xml:space="preserve"> 2.0% </v>
      </c>
      <c r="AF184" t="s">
        <v>153</v>
      </c>
      <c r="AG184" t="str">
        <f t="shared" si="82"/>
        <v xml:space="preserve"> Regulatory / compliance concerns </v>
      </c>
      <c r="AH184" t="str">
        <f t="shared" si="83"/>
        <v xml:space="preserve"> 2.0% </v>
      </c>
      <c r="AI184" t="s">
        <v>153</v>
      </c>
      <c r="AK184" t="str">
        <f t="shared" si="84"/>
        <v xml:space="preserve"> Regulatory / compliance concerns </v>
      </c>
      <c r="AL184" t="str">
        <f t="shared" si="85"/>
        <v xml:space="preserve"> 2.0% </v>
      </c>
      <c r="AM184" t="s">
        <v>153</v>
      </c>
      <c r="AN184" t="s">
        <v>0</v>
      </c>
      <c r="AO184" t="str">
        <f t="shared" si="86"/>
        <v xml:space="preserve"> 2.0% </v>
      </c>
      <c r="AP184" t="s">
        <v>160</v>
      </c>
      <c r="AQ184" t="str">
        <f t="shared" si="87"/>
        <v xml:space="preserve"> Regulatory / compliance concerns </v>
      </c>
      <c r="AR184" t="str">
        <f t="shared" si="88"/>
        <v xml:space="preserve"> 5.0% </v>
      </c>
      <c r="AS184" t="s">
        <v>1071</v>
      </c>
      <c r="AT184" t="str">
        <f t="shared" si="89"/>
        <v xml:space="preserve"> Regulatory / compliance concerns </v>
      </c>
      <c r="AU184" t="str">
        <f t="shared" si="90"/>
        <v xml:space="preserve"> 6.0% </v>
      </c>
      <c r="AV184" t="s">
        <v>1233</v>
      </c>
      <c r="AW184" t="str">
        <f t="shared" si="91"/>
        <v>Regulatory / compliance concerns</v>
      </c>
      <c r="AX184" t="str">
        <f t="shared" si="92"/>
        <v xml:space="preserve"> 15.0% </v>
      </c>
    </row>
    <row r="185" spans="1:50" x14ac:dyDescent="0.45">
      <c r="A185" t="s">
        <v>154</v>
      </c>
      <c r="B185" t="str">
        <f t="shared" si="62"/>
        <v xml:space="preserve"> No major challenges </v>
      </c>
      <c r="C185" t="str">
        <f t="shared" si="63"/>
        <v xml:space="preserve"> 0.0% </v>
      </c>
      <c r="D185" t="s">
        <v>314</v>
      </c>
      <c r="E185" t="str">
        <f t="shared" si="64"/>
        <v xml:space="preserve"> No major challenges </v>
      </c>
      <c r="F185" t="str">
        <f t="shared" si="65"/>
        <v xml:space="preserve"> 2.0% </v>
      </c>
      <c r="G185" t="s">
        <v>589</v>
      </c>
      <c r="H185" t="str">
        <f t="shared" si="66"/>
        <v xml:space="preserve"> No major challenges </v>
      </c>
      <c r="I185" t="str">
        <f t="shared" si="67"/>
        <v xml:space="preserve"> 3.0% </v>
      </c>
      <c r="J185" t="s">
        <v>403</v>
      </c>
      <c r="K185" t="str">
        <f t="shared" si="68"/>
        <v xml:space="preserve"> No major challenges </v>
      </c>
      <c r="L185" t="str">
        <f t="shared" si="69"/>
        <v xml:space="preserve"> 5.0% </v>
      </c>
      <c r="M185" t="s">
        <v>314</v>
      </c>
      <c r="N185" t="str">
        <f t="shared" si="70"/>
        <v xml:space="preserve"> No major challenges </v>
      </c>
      <c r="O185" t="str">
        <f t="shared" si="71"/>
        <v xml:space="preserve"> 2.0% </v>
      </c>
      <c r="P185" t="s">
        <v>314</v>
      </c>
      <c r="Q185" t="str">
        <f t="shared" si="72"/>
        <v xml:space="preserve"> No major challenges </v>
      </c>
      <c r="R185" t="str">
        <f t="shared" si="73"/>
        <v xml:space="preserve"> 2.0% </v>
      </c>
      <c r="S185" t="s">
        <v>589</v>
      </c>
      <c r="T185" t="str">
        <f t="shared" si="74"/>
        <v xml:space="preserve"> No major challenges </v>
      </c>
      <c r="U185" t="str">
        <f t="shared" si="75"/>
        <v xml:space="preserve"> 3.0% </v>
      </c>
      <c r="V185" t="s">
        <v>589</v>
      </c>
      <c r="W185" t="str">
        <f t="shared" si="76"/>
        <v xml:space="preserve"> No major challenges </v>
      </c>
      <c r="X185" t="str">
        <f t="shared" si="77"/>
        <v xml:space="preserve"> 3.0% </v>
      </c>
      <c r="Y185" t="s">
        <v>403</v>
      </c>
      <c r="Z185" t="str">
        <f t="shared" si="78"/>
        <v xml:space="preserve"> No major challenges </v>
      </c>
      <c r="AA185" t="str">
        <f t="shared" si="79"/>
        <v xml:space="preserve"> 5.0% </v>
      </c>
      <c r="AB185" t="s">
        <v>314</v>
      </c>
      <c r="AC185" t="str">
        <f t="shared" si="80"/>
        <v xml:space="preserve"> No major challenges </v>
      </c>
      <c r="AD185" t="str">
        <f t="shared" si="81"/>
        <v xml:space="preserve"> 2.0% </v>
      </c>
      <c r="AF185" t="s">
        <v>314</v>
      </c>
      <c r="AG185" t="str">
        <f t="shared" si="82"/>
        <v xml:space="preserve"> No major challenges </v>
      </c>
      <c r="AH185" t="str">
        <f t="shared" si="83"/>
        <v xml:space="preserve"> 2.0% </v>
      </c>
      <c r="AI185" t="s">
        <v>938</v>
      </c>
      <c r="AK185" t="str">
        <f t="shared" si="84"/>
        <v xml:space="preserve"> No major challenges </v>
      </c>
      <c r="AL185" t="str">
        <f t="shared" si="85"/>
        <v xml:space="preserve"> 1.0% </v>
      </c>
      <c r="AM185" t="s">
        <v>938</v>
      </c>
      <c r="AN185" t="s">
        <v>0</v>
      </c>
      <c r="AO185" t="str">
        <f t="shared" si="86"/>
        <v xml:space="preserve"> 1.0% </v>
      </c>
      <c r="AP185" t="s">
        <v>314</v>
      </c>
      <c r="AQ185" t="str">
        <f t="shared" si="87"/>
        <v xml:space="preserve"> No major challenges </v>
      </c>
      <c r="AR185" t="str">
        <f t="shared" si="88"/>
        <v xml:space="preserve"> 2.0% </v>
      </c>
      <c r="AS185" t="s">
        <v>314</v>
      </c>
      <c r="AT185" t="str">
        <f t="shared" si="89"/>
        <v xml:space="preserve"> No major challenges </v>
      </c>
      <c r="AU185" t="str">
        <f t="shared" si="90"/>
        <v xml:space="preserve"> 2.0% </v>
      </c>
      <c r="AV185" t="s">
        <v>1234</v>
      </c>
      <c r="AW185" t="str">
        <f t="shared" si="91"/>
        <v>No major challenges</v>
      </c>
      <c r="AX185" t="str">
        <f t="shared" si="92"/>
        <v xml:space="preserve"> 5.0% </v>
      </c>
    </row>
    <row r="186" spans="1:50" x14ac:dyDescent="0.45">
      <c r="A186" t="s">
        <v>47</v>
      </c>
      <c r="B186" t="str">
        <f t="shared" si="62"/>
        <v/>
      </c>
      <c r="C186" t="str">
        <f t="shared" si="63"/>
        <v/>
      </c>
      <c r="D186" t="s">
        <v>216</v>
      </c>
      <c r="E186" t="str">
        <f t="shared" si="64"/>
        <v/>
      </c>
      <c r="F186" t="str">
        <f t="shared" si="65"/>
        <v/>
      </c>
      <c r="G186" t="s">
        <v>47</v>
      </c>
      <c r="H186" t="str">
        <f t="shared" si="66"/>
        <v/>
      </c>
      <c r="I186" t="str">
        <f t="shared" si="67"/>
        <v/>
      </c>
      <c r="J186" t="s">
        <v>47</v>
      </c>
      <c r="K186" t="str">
        <f t="shared" si="68"/>
        <v/>
      </c>
      <c r="L186" t="str">
        <f t="shared" si="69"/>
        <v/>
      </c>
      <c r="M186" t="s">
        <v>47</v>
      </c>
      <c r="N186" t="str">
        <f t="shared" si="70"/>
        <v/>
      </c>
      <c r="O186" t="str">
        <f t="shared" si="71"/>
        <v/>
      </c>
      <c r="P186" t="s">
        <v>47</v>
      </c>
      <c r="Q186" t="str">
        <f t="shared" si="72"/>
        <v/>
      </c>
      <c r="R186" t="str">
        <f t="shared" si="73"/>
        <v/>
      </c>
      <c r="S186" t="s">
        <v>47</v>
      </c>
      <c r="T186" t="str">
        <f t="shared" si="74"/>
        <v/>
      </c>
      <c r="U186" t="str">
        <f t="shared" si="75"/>
        <v/>
      </c>
      <c r="V186" t="s">
        <v>47</v>
      </c>
      <c r="W186" t="str">
        <f t="shared" si="76"/>
        <v/>
      </c>
      <c r="X186" t="str">
        <f t="shared" si="77"/>
        <v/>
      </c>
      <c r="Y186" t="s">
        <v>47</v>
      </c>
      <c r="Z186" t="str">
        <f t="shared" si="78"/>
        <v/>
      </c>
      <c r="AA186" t="str">
        <f t="shared" si="79"/>
        <v/>
      </c>
      <c r="AB186" t="s">
        <v>47</v>
      </c>
      <c r="AC186" t="str">
        <f t="shared" si="80"/>
        <v/>
      </c>
      <c r="AD186" t="str">
        <f t="shared" si="81"/>
        <v/>
      </c>
      <c r="AF186" t="s">
        <v>47</v>
      </c>
      <c r="AG186" t="str">
        <f t="shared" si="82"/>
        <v/>
      </c>
      <c r="AH186" t="str">
        <f t="shared" si="83"/>
        <v/>
      </c>
      <c r="AI186" t="s">
        <v>47</v>
      </c>
      <c r="AK186" t="str">
        <f t="shared" si="84"/>
        <v/>
      </c>
      <c r="AL186" t="str">
        <f t="shared" si="85"/>
        <v/>
      </c>
      <c r="AM186" t="s">
        <v>47</v>
      </c>
      <c r="AN186" t="s">
        <v>0</v>
      </c>
      <c r="AO186" t="str">
        <f t="shared" si="86"/>
        <v/>
      </c>
      <c r="AP186" t="s">
        <v>47</v>
      </c>
      <c r="AQ186" t="str">
        <f t="shared" si="87"/>
        <v/>
      </c>
      <c r="AR186" t="str">
        <f t="shared" si="88"/>
        <v/>
      </c>
      <c r="AS186" t="s">
        <v>47</v>
      </c>
      <c r="AT186" t="str">
        <f t="shared" si="89"/>
        <v/>
      </c>
      <c r="AU186" t="str">
        <f t="shared" si="90"/>
        <v/>
      </c>
      <c r="AV186" t="s">
        <v>1124</v>
      </c>
      <c r="AW186" t="str">
        <f t="shared" si="91"/>
        <v/>
      </c>
      <c r="AX186" t="str">
        <f t="shared" si="92"/>
        <v/>
      </c>
    </row>
    <row r="187" spans="1:50" x14ac:dyDescent="0.45">
      <c r="A187" t="s">
        <v>155</v>
      </c>
      <c r="B187" t="str">
        <f t="shared" si="62"/>
        <v xml:space="preserve"> Data quality / availability </v>
      </c>
      <c r="C187" t="str">
        <f t="shared" si="63"/>
        <v xml:space="preserve"> 30.0% </v>
      </c>
      <c r="D187" t="s">
        <v>315</v>
      </c>
      <c r="E187" t="str">
        <f t="shared" si="64"/>
        <v xml:space="preserve"> Data quality / availability </v>
      </c>
      <c r="F187" t="str">
        <f t="shared" si="65"/>
        <v xml:space="preserve"> 22.0% </v>
      </c>
      <c r="G187" t="s">
        <v>315</v>
      </c>
      <c r="H187" t="str">
        <f t="shared" si="66"/>
        <v xml:space="preserve"> Data quality / availability </v>
      </c>
      <c r="I187" t="str">
        <f t="shared" si="67"/>
        <v xml:space="preserve"> 22.0% </v>
      </c>
      <c r="J187" t="s">
        <v>404</v>
      </c>
      <c r="K187" t="str">
        <f t="shared" si="68"/>
        <v xml:space="preserve"> Data quality / availability </v>
      </c>
      <c r="L187" t="str">
        <f t="shared" si="69"/>
        <v xml:space="preserve"> 20.0% </v>
      </c>
      <c r="M187" t="s">
        <v>520</v>
      </c>
      <c r="N187" t="str">
        <f t="shared" si="70"/>
        <v xml:space="preserve"> Data quality / availability </v>
      </c>
      <c r="O187" t="str">
        <f t="shared" si="71"/>
        <v xml:space="preserve"> 24.0% </v>
      </c>
      <c r="P187" t="s">
        <v>319</v>
      </c>
      <c r="Q187" t="str">
        <f t="shared" si="72"/>
        <v xml:space="preserve"> Data quality / availability </v>
      </c>
      <c r="R187" t="str">
        <f t="shared" si="73"/>
        <v xml:space="preserve"> 28.0% </v>
      </c>
      <c r="S187" t="s">
        <v>401</v>
      </c>
      <c r="T187" t="str">
        <f t="shared" si="74"/>
        <v xml:space="preserve"> Data quality / availability </v>
      </c>
      <c r="U187" t="str">
        <f t="shared" si="75"/>
        <v xml:space="preserve"> 25.0% </v>
      </c>
      <c r="V187" t="s">
        <v>155</v>
      </c>
      <c r="W187" t="str">
        <f t="shared" si="76"/>
        <v xml:space="preserve"> Data quality / availability </v>
      </c>
      <c r="X187" t="str">
        <f t="shared" si="77"/>
        <v xml:space="preserve"> 30.0% </v>
      </c>
      <c r="Y187" t="s">
        <v>401</v>
      </c>
      <c r="Z187" t="str">
        <f t="shared" si="78"/>
        <v xml:space="preserve"> Data quality / availability </v>
      </c>
      <c r="AA187" t="str">
        <f t="shared" si="79"/>
        <v xml:space="preserve"> 25.0% </v>
      </c>
      <c r="AB187" t="s">
        <v>401</v>
      </c>
      <c r="AC187" t="str">
        <f t="shared" si="80"/>
        <v xml:space="preserve"> Data quality / availability </v>
      </c>
      <c r="AD187" t="str">
        <f t="shared" si="81"/>
        <v xml:space="preserve"> 25.0% </v>
      </c>
      <c r="AF187" t="s">
        <v>520</v>
      </c>
      <c r="AG187" t="str">
        <f t="shared" si="82"/>
        <v xml:space="preserve"> Data quality / availability </v>
      </c>
      <c r="AH187" t="str">
        <f t="shared" si="83"/>
        <v xml:space="preserve"> 24.0% </v>
      </c>
      <c r="AI187" t="s">
        <v>161</v>
      </c>
      <c r="AK187" t="str">
        <f t="shared" si="84"/>
        <v xml:space="preserve"> Data quality / availability </v>
      </c>
      <c r="AL187" t="str">
        <f t="shared" si="85"/>
        <v xml:space="preserve"> 35.0% </v>
      </c>
      <c r="AM187" t="s">
        <v>155</v>
      </c>
      <c r="AN187" t="s">
        <v>0</v>
      </c>
      <c r="AO187" t="str">
        <f t="shared" si="86"/>
        <v xml:space="preserve"> 30.0% </v>
      </c>
      <c r="AP187" t="s">
        <v>315</v>
      </c>
      <c r="AQ187" t="str">
        <f t="shared" si="87"/>
        <v xml:space="preserve"> Data quality / availability </v>
      </c>
      <c r="AR187" t="str">
        <f t="shared" si="88"/>
        <v xml:space="preserve"> 22.0% </v>
      </c>
      <c r="AS187" t="s">
        <v>401</v>
      </c>
      <c r="AT187" t="str">
        <f t="shared" si="89"/>
        <v xml:space="preserve"> Data quality / availability </v>
      </c>
      <c r="AU187" t="str">
        <f t="shared" si="90"/>
        <v xml:space="preserve"> 25.0% </v>
      </c>
      <c r="AV187" t="s">
        <v>1235</v>
      </c>
      <c r="AW187" t="str">
        <f t="shared" si="91"/>
        <v>Data quality / availability</v>
      </c>
      <c r="AX187" t="str">
        <f t="shared" si="92"/>
        <v xml:space="preserve"> 35.0% </v>
      </c>
    </row>
    <row r="188" spans="1:50" x14ac:dyDescent="0.45">
      <c r="A188" t="s">
        <v>156</v>
      </c>
      <c r="B188" t="str">
        <f t="shared" si="62"/>
        <v xml:space="preserve"> Explainability &amp; trust </v>
      </c>
      <c r="C188" t="str">
        <f t="shared" si="63"/>
        <v xml:space="preserve"> 25.0% </v>
      </c>
      <c r="D188" t="s">
        <v>316</v>
      </c>
      <c r="E188" t="str">
        <f t="shared" si="64"/>
        <v xml:space="preserve"> Explainability &amp; trust </v>
      </c>
      <c r="F188" t="str">
        <f t="shared" si="65"/>
        <v xml:space="preserve"> 24.0% </v>
      </c>
      <c r="G188" t="s">
        <v>149</v>
      </c>
      <c r="H188" t="str">
        <f t="shared" si="66"/>
        <v xml:space="preserve"> Explainability &amp; trust </v>
      </c>
      <c r="I188" t="str">
        <f t="shared" si="67"/>
        <v xml:space="preserve"> 15.0% </v>
      </c>
      <c r="J188" t="s">
        <v>156</v>
      </c>
      <c r="K188" t="str">
        <f t="shared" si="68"/>
        <v xml:space="preserve"> Explainability &amp; trust </v>
      </c>
      <c r="L188" t="str">
        <f t="shared" si="69"/>
        <v xml:space="preserve"> 25.0% </v>
      </c>
      <c r="M188" t="s">
        <v>521</v>
      </c>
      <c r="N188" t="str">
        <f t="shared" si="70"/>
        <v xml:space="preserve"> Explainability &amp; trust </v>
      </c>
      <c r="O188" t="str">
        <f t="shared" si="71"/>
        <v xml:space="preserve"> 19.0% </v>
      </c>
      <c r="P188" t="s">
        <v>645</v>
      </c>
      <c r="Q188" t="str">
        <f t="shared" si="72"/>
        <v xml:space="preserve"> Explainability &amp; trust </v>
      </c>
      <c r="R188" t="str">
        <f t="shared" si="73"/>
        <v xml:space="preserve"> 22.0% </v>
      </c>
      <c r="S188" t="s">
        <v>588</v>
      </c>
      <c r="T188" t="str">
        <f t="shared" si="74"/>
        <v xml:space="preserve"> Explainability &amp; trust </v>
      </c>
      <c r="U188" t="str">
        <f t="shared" si="75"/>
        <v xml:space="preserve"> 12.0% </v>
      </c>
      <c r="V188" t="s">
        <v>402</v>
      </c>
      <c r="W188" t="str">
        <f t="shared" si="76"/>
        <v xml:space="preserve"> Explainability &amp; trust </v>
      </c>
      <c r="X188" t="str">
        <f t="shared" si="77"/>
        <v xml:space="preserve"> 20.0% </v>
      </c>
      <c r="Y188" t="s">
        <v>156</v>
      </c>
      <c r="Z188" t="str">
        <f t="shared" si="78"/>
        <v xml:space="preserve"> Explainability &amp; trust </v>
      </c>
      <c r="AA188" t="str">
        <f t="shared" si="79"/>
        <v xml:space="preserve"> 25.0% </v>
      </c>
      <c r="AB188" t="s">
        <v>156</v>
      </c>
      <c r="AC188" t="str">
        <f t="shared" si="80"/>
        <v xml:space="preserve"> Explainability &amp; trust </v>
      </c>
      <c r="AD188" t="str">
        <f t="shared" si="81"/>
        <v xml:space="preserve"> 25.0% </v>
      </c>
      <c r="AF188" t="s">
        <v>909</v>
      </c>
      <c r="AG188" t="str">
        <f t="shared" si="82"/>
        <v xml:space="preserve"> Explainability &amp; trust </v>
      </c>
      <c r="AH188" t="str">
        <f t="shared" si="83"/>
        <v xml:space="preserve"> 26.0% </v>
      </c>
      <c r="AI188" t="s">
        <v>311</v>
      </c>
      <c r="AK188" t="str">
        <f t="shared" si="84"/>
        <v xml:space="preserve"> Explainability &amp; trust </v>
      </c>
      <c r="AL188" t="str">
        <f t="shared" si="85"/>
        <v xml:space="preserve"> 18.0% </v>
      </c>
      <c r="AM188" t="s">
        <v>156</v>
      </c>
      <c r="AN188" t="s">
        <v>0</v>
      </c>
      <c r="AO188" t="str">
        <f t="shared" si="86"/>
        <v xml:space="preserve"> 25.0% </v>
      </c>
      <c r="AP188" t="s">
        <v>311</v>
      </c>
      <c r="AQ188" t="str">
        <f t="shared" si="87"/>
        <v xml:space="preserve"> Explainability &amp; trust </v>
      </c>
      <c r="AR188" t="str">
        <f t="shared" si="88"/>
        <v xml:space="preserve"> 18.0% </v>
      </c>
      <c r="AS188" t="s">
        <v>402</v>
      </c>
      <c r="AT188" t="str">
        <f t="shared" si="89"/>
        <v xml:space="preserve"> Explainability &amp; trust </v>
      </c>
      <c r="AU188" t="str">
        <f t="shared" si="90"/>
        <v xml:space="preserve"> 20.0% </v>
      </c>
      <c r="AV188" t="s">
        <v>1236</v>
      </c>
      <c r="AW188" t="str">
        <f t="shared" si="91"/>
        <v>Explainability &amp; trust</v>
      </c>
      <c r="AX188" t="str">
        <f t="shared" si="92"/>
        <v xml:space="preserve"> 28.0% </v>
      </c>
    </row>
    <row r="189" spans="1:50" x14ac:dyDescent="0.45">
      <c r="A189" t="s">
        <v>157</v>
      </c>
      <c r="B189" t="str">
        <f t="shared" si="62"/>
        <v xml:space="preserve"> Skills &amp; expertise </v>
      </c>
      <c r="C189" t="str">
        <f t="shared" si="63"/>
        <v xml:space="preserve"> 15.0% </v>
      </c>
      <c r="D189" t="s">
        <v>317</v>
      </c>
      <c r="E189" t="str">
        <f t="shared" si="64"/>
        <v xml:space="preserve"> Skills &amp; expertise </v>
      </c>
      <c r="F189" t="str">
        <f t="shared" si="65"/>
        <v xml:space="preserve"> 14.0% </v>
      </c>
      <c r="G189" t="s">
        <v>526</v>
      </c>
      <c r="H189" t="str">
        <f t="shared" si="66"/>
        <v xml:space="preserve"> Skills &amp; expertise </v>
      </c>
      <c r="I189" t="str">
        <f t="shared" si="67"/>
        <v xml:space="preserve"> 18.0% </v>
      </c>
      <c r="J189" t="s">
        <v>157</v>
      </c>
      <c r="K189" t="str">
        <f t="shared" si="68"/>
        <v xml:space="preserve"> Skills &amp; expertise </v>
      </c>
      <c r="L189" t="str">
        <f t="shared" si="69"/>
        <v xml:space="preserve"> 15.0% </v>
      </c>
      <c r="M189" t="s">
        <v>522</v>
      </c>
      <c r="N189" t="str">
        <f t="shared" si="70"/>
        <v xml:space="preserve"> Skills &amp; expertise </v>
      </c>
      <c r="O189" t="str">
        <f t="shared" si="71"/>
        <v xml:space="preserve"> 13.0% </v>
      </c>
      <c r="P189" t="s">
        <v>646</v>
      </c>
      <c r="Q189" t="str">
        <f t="shared" si="72"/>
        <v xml:space="preserve"> Skills &amp; expertise </v>
      </c>
      <c r="R189" t="str">
        <f t="shared" si="73"/>
        <v xml:space="preserve"> 10.0% </v>
      </c>
      <c r="S189" t="s">
        <v>526</v>
      </c>
      <c r="T189" t="str">
        <f t="shared" si="74"/>
        <v xml:space="preserve"> Skills &amp; expertise </v>
      </c>
      <c r="U189" t="str">
        <f t="shared" si="75"/>
        <v xml:space="preserve"> 18.0% </v>
      </c>
      <c r="V189" t="s">
        <v>526</v>
      </c>
      <c r="W189" t="str">
        <f t="shared" si="76"/>
        <v xml:space="preserve"> Skills &amp; expertise </v>
      </c>
      <c r="X189" t="str">
        <f t="shared" si="77"/>
        <v xml:space="preserve"> 18.0% </v>
      </c>
      <c r="Y189" t="s">
        <v>157</v>
      </c>
      <c r="Z189" t="str">
        <f t="shared" si="78"/>
        <v xml:space="preserve"> Skills &amp; expertise </v>
      </c>
      <c r="AA189" t="str">
        <f t="shared" si="79"/>
        <v xml:space="preserve"> 15.0% </v>
      </c>
      <c r="AB189" t="s">
        <v>150</v>
      </c>
      <c r="AC189" t="str">
        <f t="shared" si="80"/>
        <v xml:space="preserve"> Skills &amp; expertise </v>
      </c>
      <c r="AD189" t="str">
        <f t="shared" si="81"/>
        <v xml:space="preserve"> 20.0% </v>
      </c>
      <c r="AF189" t="s">
        <v>312</v>
      </c>
      <c r="AG189" t="str">
        <f t="shared" si="82"/>
        <v xml:space="preserve"> Skills &amp; expertise </v>
      </c>
      <c r="AH189" t="str">
        <f t="shared" si="83"/>
        <v xml:space="preserve"> 16.0% </v>
      </c>
      <c r="AI189" t="s">
        <v>713</v>
      </c>
      <c r="AK189" t="str">
        <f t="shared" si="84"/>
        <v xml:space="preserve"> Skills &amp; expertise </v>
      </c>
      <c r="AL189" t="str">
        <f t="shared" si="85"/>
        <v xml:space="preserve"> 22.0% </v>
      </c>
      <c r="AM189" t="s">
        <v>157</v>
      </c>
      <c r="AN189" t="s">
        <v>0</v>
      </c>
      <c r="AO189" t="str">
        <f t="shared" si="86"/>
        <v xml:space="preserve"> 15.0% </v>
      </c>
      <c r="AP189" t="s">
        <v>317</v>
      </c>
      <c r="AQ189" t="str">
        <f t="shared" si="87"/>
        <v xml:space="preserve"> Skills &amp; expertise </v>
      </c>
      <c r="AR189" t="str">
        <f t="shared" si="88"/>
        <v xml:space="preserve"> 14.0% </v>
      </c>
      <c r="AS189" t="s">
        <v>317</v>
      </c>
      <c r="AT189" t="str">
        <f t="shared" si="89"/>
        <v xml:space="preserve"> Skills &amp; expertise </v>
      </c>
      <c r="AU189" t="str">
        <f t="shared" si="90"/>
        <v xml:space="preserve"> 14.0% </v>
      </c>
      <c r="AV189" t="s">
        <v>1237</v>
      </c>
      <c r="AW189" t="str">
        <f t="shared" si="91"/>
        <v>Skills &amp; expertise</v>
      </c>
      <c r="AX189" t="str">
        <f t="shared" si="92"/>
        <v xml:space="preserve"> 32.0% </v>
      </c>
    </row>
    <row r="190" spans="1:50" x14ac:dyDescent="0.45">
      <c r="A190" t="s">
        <v>158</v>
      </c>
      <c r="B190" t="str">
        <f t="shared" si="62"/>
        <v xml:space="preserve"> Integration with existing systems </v>
      </c>
      <c r="C190" t="str">
        <f t="shared" si="63"/>
        <v xml:space="preserve"> 20.0% </v>
      </c>
      <c r="D190" t="s">
        <v>158</v>
      </c>
      <c r="E190" t="str">
        <f t="shared" si="64"/>
        <v xml:space="preserve"> Integration with existing systems </v>
      </c>
      <c r="F190" t="str">
        <f t="shared" si="65"/>
        <v xml:space="preserve"> 20.0% </v>
      </c>
      <c r="G190" t="s">
        <v>321</v>
      </c>
      <c r="H190" t="str">
        <f t="shared" si="66"/>
        <v xml:space="preserve"> Integration with existing systems </v>
      </c>
      <c r="I190" t="str">
        <f t="shared" si="67"/>
        <v xml:space="preserve"> 18.0% </v>
      </c>
      <c r="J190" t="s">
        <v>151</v>
      </c>
      <c r="K190" t="str">
        <f t="shared" si="68"/>
        <v xml:space="preserve"> Integration with existing systems </v>
      </c>
      <c r="L190" t="str">
        <f t="shared" si="69"/>
        <v xml:space="preserve"> 15.0% </v>
      </c>
      <c r="M190" t="s">
        <v>523</v>
      </c>
      <c r="N190" t="str">
        <f t="shared" si="70"/>
        <v xml:space="preserve"> Integration with existing systems </v>
      </c>
      <c r="O190" t="str">
        <f t="shared" si="71"/>
        <v xml:space="preserve"> 16.0% </v>
      </c>
      <c r="P190" t="s">
        <v>523</v>
      </c>
      <c r="Q190" t="str">
        <f t="shared" si="72"/>
        <v xml:space="preserve"> Integration with existing systems </v>
      </c>
      <c r="R190" t="str">
        <f t="shared" si="73"/>
        <v xml:space="preserve"> 16.0% </v>
      </c>
      <c r="S190" t="s">
        <v>321</v>
      </c>
      <c r="T190" t="str">
        <f t="shared" si="74"/>
        <v xml:space="preserve"> Integration with existing systems </v>
      </c>
      <c r="U190" t="str">
        <f t="shared" si="75"/>
        <v xml:space="preserve"> 18.0% </v>
      </c>
      <c r="V190" t="s">
        <v>151</v>
      </c>
      <c r="W190" t="str">
        <f t="shared" si="76"/>
        <v xml:space="preserve"> Integration with existing systems </v>
      </c>
      <c r="X190" t="str">
        <f t="shared" si="77"/>
        <v xml:space="preserve"> 15.0% </v>
      </c>
      <c r="Y190" t="s">
        <v>163</v>
      </c>
      <c r="Z190" t="str">
        <f t="shared" si="78"/>
        <v xml:space="preserve"> Integration with existing systems </v>
      </c>
      <c r="AA190" t="str">
        <f t="shared" si="79"/>
        <v xml:space="preserve"> 10.0% </v>
      </c>
      <c r="AB190" t="s">
        <v>151</v>
      </c>
      <c r="AC190" t="str">
        <f t="shared" si="80"/>
        <v xml:space="preserve"> Integration with existing systems </v>
      </c>
      <c r="AD190" t="str">
        <f t="shared" si="81"/>
        <v xml:space="preserve"> 15.0% </v>
      </c>
      <c r="AF190" t="s">
        <v>321</v>
      </c>
      <c r="AG190" t="str">
        <f t="shared" si="82"/>
        <v xml:space="preserve"> Integration with existing systems </v>
      </c>
      <c r="AH190" t="str">
        <f t="shared" si="83"/>
        <v xml:space="preserve"> 18.0% </v>
      </c>
      <c r="AI190" t="s">
        <v>151</v>
      </c>
      <c r="AK190" t="str">
        <f t="shared" si="84"/>
        <v xml:space="preserve"> Integration with existing systems </v>
      </c>
      <c r="AL190" t="str">
        <f t="shared" si="85"/>
        <v xml:space="preserve"> 15.0% </v>
      </c>
      <c r="AM190" t="s">
        <v>151</v>
      </c>
      <c r="AN190" t="s">
        <v>0</v>
      </c>
      <c r="AO190" t="str">
        <f t="shared" si="86"/>
        <v xml:space="preserve"> 15.0% </v>
      </c>
      <c r="AP190" t="s">
        <v>523</v>
      </c>
      <c r="AQ190" t="str">
        <f t="shared" si="87"/>
        <v xml:space="preserve"> Integration with existing systems </v>
      </c>
      <c r="AR190" t="str">
        <f t="shared" si="88"/>
        <v xml:space="preserve"> 16.0% </v>
      </c>
      <c r="AS190" t="s">
        <v>151</v>
      </c>
      <c r="AT190" t="str">
        <f t="shared" si="89"/>
        <v xml:space="preserve"> Integration with existing systems </v>
      </c>
      <c r="AU190" t="str">
        <f t="shared" si="90"/>
        <v xml:space="preserve"> 15.0% </v>
      </c>
      <c r="AV190" t="s">
        <v>1238</v>
      </c>
      <c r="AW190" t="str">
        <f t="shared" si="91"/>
        <v>Integration with existing systems</v>
      </c>
      <c r="AX190" t="str">
        <f t="shared" si="92"/>
        <v xml:space="preserve"> 40.0% </v>
      </c>
    </row>
    <row r="191" spans="1:50" x14ac:dyDescent="0.45">
      <c r="A191" t="s">
        <v>159</v>
      </c>
      <c r="B191" t="str">
        <f t="shared" si="62"/>
        <v xml:space="preserve"> Cost / ROI justification </v>
      </c>
      <c r="C191" t="str">
        <f t="shared" si="63"/>
        <v xml:space="preserve"> 5.0% </v>
      </c>
      <c r="D191" t="s">
        <v>152</v>
      </c>
      <c r="E191" t="str">
        <f t="shared" si="64"/>
        <v xml:space="preserve"> Cost / ROI justification </v>
      </c>
      <c r="F191" t="str">
        <f t="shared" si="65"/>
        <v xml:space="preserve"> 8.0% </v>
      </c>
      <c r="G191" t="s">
        <v>322</v>
      </c>
      <c r="H191" t="str">
        <f t="shared" si="66"/>
        <v xml:space="preserve"> Cost / ROI justification </v>
      </c>
      <c r="I191" t="str">
        <f t="shared" si="67"/>
        <v xml:space="preserve"> 12.0% </v>
      </c>
      <c r="J191" t="s">
        <v>164</v>
      </c>
      <c r="K191" t="str">
        <f t="shared" si="68"/>
        <v xml:space="preserve"> Cost / ROI justification </v>
      </c>
      <c r="L191" t="str">
        <f t="shared" si="69"/>
        <v xml:space="preserve"> 10.0% </v>
      </c>
      <c r="M191" t="s">
        <v>164</v>
      </c>
      <c r="N191" t="str">
        <f t="shared" si="70"/>
        <v xml:space="preserve"> Cost / ROI justification </v>
      </c>
      <c r="O191" t="str">
        <f t="shared" si="71"/>
        <v xml:space="preserve"> 10.0% </v>
      </c>
      <c r="P191" t="s">
        <v>152</v>
      </c>
      <c r="Q191" t="str">
        <f t="shared" si="72"/>
        <v xml:space="preserve"> Cost / ROI justification </v>
      </c>
      <c r="R191" t="str">
        <f t="shared" si="73"/>
        <v xml:space="preserve"> 8.0% </v>
      </c>
      <c r="S191" t="s">
        <v>711</v>
      </c>
      <c r="T191" t="str">
        <f t="shared" si="74"/>
        <v xml:space="preserve"> Cost / ROI justification </v>
      </c>
      <c r="U191" t="str">
        <f t="shared" si="75"/>
        <v xml:space="preserve"> 15.0% </v>
      </c>
      <c r="V191" t="s">
        <v>152</v>
      </c>
      <c r="W191" t="str">
        <f t="shared" si="76"/>
        <v xml:space="preserve"> Cost / ROI justification </v>
      </c>
      <c r="X191" t="str">
        <f t="shared" si="77"/>
        <v xml:space="preserve"> 8.0% </v>
      </c>
      <c r="Y191" t="s">
        <v>164</v>
      </c>
      <c r="Z191" t="str">
        <f t="shared" si="78"/>
        <v xml:space="preserve"> Cost / ROI justification </v>
      </c>
      <c r="AA191" t="str">
        <f t="shared" si="79"/>
        <v xml:space="preserve"> 10.0% </v>
      </c>
      <c r="AB191" t="s">
        <v>152</v>
      </c>
      <c r="AC191" t="str">
        <f t="shared" si="80"/>
        <v xml:space="preserve"> Cost / ROI justification </v>
      </c>
      <c r="AD191" t="str">
        <f t="shared" si="81"/>
        <v xml:space="preserve"> 8.0% </v>
      </c>
      <c r="AF191" t="s">
        <v>322</v>
      </c>
      <c r="AG191" t="str">
        <f t="shared" si="82"/>
        <v xml:space="preserve"> Cost / ROI justification </v>
      </c>
      <c r="AH191" t="str">
        <f t="shared" si="83"/>
        <v xml:space="preserve"> 12.0% </v>
      </c>
      <c r="AI191" t="s">
        <v>159</v>
      </c>
      <c r="AK191" t="str">
        <f t="shared" si="84"/>
        <v xml:space="preserve"> Cost / ROI justification </v>
      </c>
      <c r="AL191" t="str">
        <f t="shared" si="85"/>
        <v xml:space="preserve"> 5.0% </v>
      </c>
      <c r="AM191" t="s">
        <v>159</v>
      </c>
      <c r="AN191" t="s">
        <v>0</v>
      </c>
      <c r="AO191" t="str">
        <f t="shared" si="86"/>
        <v xml:space="preserve"> 5.0% </v>
      </c>
      <c r="AP191" t="s">
        <v>528</v>
      </c>
      <c r="AQ191" t="str">
        <f t="shared" si="87"/>
        <v xml:space="preserve"> Cost / ROI justification </v>
      </c>
      <c r="AR191" t="str">
        <f t="shared" si="88"/>
        <v xml:space="preserve"> 14.0% </v>
      </c>
      <c r="AS191" t="s">
        <v>322</v>
      </c>
      <c r="AT191" t="str">
        <f t="shared" si="89"/>
        <v xml:space="preserve"> Cost / ROI justification </v>
      </c>
      <c r="AU191" t="str">
        <f t="shared" si="90"/>
        <v xml:space="preserve"> 12.0% </v>
      </c>
      <c r="AV191" t="s">
        <v>1239</v>
      </c>
      <c r="AW191" t="str">
        <f t="shared" si="91"/>
        <v>Cost / ROI justification</v>
      </c>
      <c r="AX191" t="str">
        <f t="shared" si="92"/>
        <v xml:space="preserve"> 25.0% </v>
      </c>
    </row>
    <row r="192" spans="1:50" x14ac:dyDescent="0.45">
      <c r="A192" t="s">
        <v>160</v>
      </c>
      <c r="B192" t="str">
        <f t="shared" si="62"/>
        <v xml:space="preserve"> Regulatory / compliance concerns </v>
      </c>
      <c r="C192" t="str">
        <f t="shared" si="63"/>
        <v xml:space="preserve"> 5.0% </v>
      </c>
      <c r="D192" t="s">
        <v>318</v>
      </c>
      <c r="E192" t="str">
        <f t="shared" si="64"/>
        <v xml:space="preserve"> Regulatory / compliance concerns </v>
      </c>
      <c r="F192" t="str">
        <f t="shared" si="65"/>
        <v xml:space="preserve"> 10.0% </v>
      </c>
      <c r="G192" t="s">
        <v>318</v>
      </c>
      <c r="H192" t="str">
        <f t="shared" si="66"/>
        <v xml:space="preserve"> Regulatory / compliance concerns </v>
      </c>
      <c r="I192" t="str">
        <f t="shared" si="67"/>
        <v xml:space="preserve"> 10.0% </v>
      </c>
      <c r="J192" t="s">
        <v>318</v>
      </c>
      <c r="K192" t="str">
        <f t="shared" si="68"/>
        <v xml:space="preserve"> Regulatory / compliance concerns </v>
      </c>
      <c r="L192" t="str">
        <f t="shared" si="69"/>
        <v xml:space="preserve"> 10.0% </v>
      </c>
      <c r="M192" t="s">
        <v>524</v>
      </c>
      <c r="N192" t="str">
        <f t="shared" si="70"/>
        <v xml:space="preserve"> Regulatory / compliance concerns </v>
      </c>
      <c r="O192" t="str">
        <f t="shared" si="71"/>
        <v xml:space="preserve"> 16.0% </v>
      </c>
      <c r="P192" t="s">
        <v>647</v>
      </c>
      <c r="Q192" t="str">
        <f t="shared" si="72"/>
        <v xml:space="preserve"> Regulatory / compliance concerns </v>
      </c>
      <c r="R192" t="str">
        <f t="shared" si="73"/>
        <v xml:space="preserve"> 12.0% </v>
      </c>
      <c r="S192" t="s">
        <v>712</v>
      </c>
      <c r="T192" t="str">
        <f t="shared" si="74"/>
        <v xml:space="preserve"> Regulatory / compliance concerns </v>
      </c>
      <c r="U192" t="str">
        <f t="shared" si="75"/>
        <v xml:space="preserve"> 8.0% </v>
      </c>
      <c r="V192" t="s">
        <v>649</v>
      </c>
      <c r="W192" t="str">
        <f t="shared" si="76"/>
        <v xml:space="preserve"> Regulatory / compliance concerns </v>
      </c>
      <c r="X192" t="str">
        <f t="shared" si="77"/>
        <v xml:space="preserve"> 7.0% </v>
      </c>
      <c r="Y192" t="s">
        <v>318</v>
      </c>
      <c r="Z192" t="str">
        <f t="shared" si="78"/>
        <v xml:space="preserve"> Regulatory / compliance concerns </v>
      </c>
      <c r="AA192" t="str">
        <f t="shared" si="79"/>
        <v xml:space="preserve"> 10.0% </v>
      </c>
      <c r="AB192" t="s">
        <v>160</v>
      </c>
      <c r="AC192" t="str">
        <f t="shared" si="80"/>
        <v xml:space="preserve"> Regulatory / compliance concerns </v>
      </c>
      <c r="AD192" t="str">
        <f t="shared" si="81"/>
        <v xml:space="preserve"> 5.0% </v>
      </c>
      <c r="AF192" t="s">
        <v>153</v>
      </c>
      <c r="AG192" t="str">
        <f t="shared" si="82"/>
        <v xml:space="preserve"> Regulatory / compliance concerns </v>
      </c>
      <c r="AH192" t="str">
        <f t="shared" si="83"/>
        <v xml:space="preserve"> 2.0% </v>
      </c>
      <c r="AI192" t="s">
        <v>313</v>
      </c>
      <c r="AK192" t="str">
        <f t="shared" si="84"/>
        <v xml:space="preserve"> Regulatory / compliance concerns </v>
      </c>
      <c r="AL192" t="str">
        <f t="shared" si="85"/>
        <v xml:space="preserve"> 4.0% </v>
      </c>
      <c r="AM192" t="s">
        <v>939</v>
      </c>
      <c r="AN192" t="s">
        <v>0</v>
      </c>
      <c r="AO192" t="str">
        <f t="shared" si="86"/>
        <v xml:space="preserve"> 9.0% </v>
      </c>
      <c r="AP192" t="s">
        <v>1028</v>
      </c>
      <c r="AQ192" t="str">
        <f t="shared" si="87"/>
        <v xml:space="preserve"> Regulatory / compliance concerns </v>
      </c>
      <c r="AR192" t="str">
        <f t="shared" si="88"/>
        <v xml:space="preserve"> 14.0% </v>
      </c>
      <c r="AS192" t="s">
        <v>712</v>
      </c>
      <c r="AT192" t="str">
        <f t="shared" si="89"/>
        <v xml:space="preserve"> Regulatory / compliance concerns </v>
      </c>
      <c r="AU192" t="str">
        <f t="shared" si="90"/>
        <v xml:space="preserve"> 8.0% </v>
      </c>
      <c r="AV192" t="s">
        <v>1240</v>
      </c>
      <c r="AW192" t="str">
        <f t="shared" si="91"/>
        <v>Regulatory / compliance concerns</v>
      </c>
      <c r="AX192" t="str">
        <f t="shared" si="92"/>
        <v xml:space="preserve"> 20.0% </v>
      </c>
    </row>
    <row r="193" spans="1:50" x14ac:dyDescent="0.45">
      <c r="A193" t="s">
        <v>154</v>
      </c>
      <c r="B193" t="str">
        <f t="shared" si="62"/>
        <v xml:space="preserve"> No major challenges </v>
      </c>
      <c r="C193" t="str">
        <f t="shared" si="63"/>
        <v xml:space="preserve"> 0.0% </v>
      </c>
      <c r="D193" t="s">
        <v>314</v>
      </c>
      <c r="E193" t="str">
        <f t="shared" si="64"/>
        <v xml:space="preserve"> No major challenges </v>
      </c>
      <c r="F193" t="str">
        <f t="shared" si="65"/>
        <v xml:space="preserve"> 2.0% </v>
      </c>
      <c r="G193" t="s">
        <v>403</v>
      </c>
      <c r="H193" t="str">
        <f t="shared" si="66"/>
        <v xml:space="preserve"> No major challenges </v>
      </c>
      <c r="I193" t="str">
        <f t="shared" si="67"/>
        <v xml:space="preserve"> 5.0% </v>
      </c>
      <c r="J193" t="s">
        <v>403</v>
      </c>
      <c r="K193" t="str">
        <f t="shared" si="68"/>
        <v xml:space="preserve"> No major challenges </v>
      </c>
      <c r="L193" t="str">
        <f t="shared" si="69"/>
        <v xml:space="preserve"> 5.0% </v>
      </c>
      <c r="M193" t="s">
        <v>314</v>
      </c>
      <c r="N193" t="str">
        <f t="shared" si="70"/>
        <v xml:space="preserve"> No major challenges </v>
      </c>
      <c r="O193" t="str">
        <f t="shared" si="71"/>
        <v xml:space="preserve"> 2.0% </v>
      </c>
      <c r="P193" t="s">
        <v>648</v>
      </c>
      <c r="Q193" t="str">
        <f t="shared" si="72"/>
        <v xml:space="preserve"> No major challenges </v>
      </c>
      <c r="R193" t="str">
        <f t="shared" si="73"/>
        <v xml:space="preserve"> 4.0% </v>
      </c>
      <c r="S193" t="s">
        <v>648</v>
      </c>
      <c r="T193" t="str">
        <f t="shared" si="74"/>
        <v xml:space="preserve"> No major challenges </v>
      </c>
      <c r="U193" t="str">
        <f t="shared" si="75"/>
        <v xml:space="preserve"> 4.0% </v>
      </c>
      <c r="V193" t="s">
        <v>314</v>
      </c>
      <c r="W193" t="str">
        <f t="shared" si="76"/>
        <v xml:space="preserve"> No major challenges </v>
      </c>
      <c r="X193" t="str">
        <f t="shared" si="77"/>
        <v xml:space="preserve"> 2.0% </v>
      </c>
      <c r="Y193" t="s">
        <v>403</v>
      </c>
      <c r="Z193" t="str">
        <f t="shared" si="78"/>
        <v xml:space="preserve"> No major challenges </v>
      </c>
      <c r="AA193" t="str">
        <f t="shared" si="79"/>
        <v xml:space="preserve"> 5.0% </v>
      </c>
      <c r="AB193" t="s">
        <v>314</v>
      </c>
      <c r="AC193" t="str">
        <f t="shared" si="80"/>
        <v xml:space="preserve"> No major challenges </v>
      </c>
      <c r="AD193" t="str">
        <f t="shared" si="81"/>
        <v xml:space="preserve"> 2.0% </v>
      </c>
      <c r="AF193" t="s">
        <v>314</v>
      </c>
      <c r="AG193" t="str">
        <f t="shared" si="82"/>
        <v xml:space="preserve"> No major challenges </v>
      </c>
      <c r="AH193" t="str">
        <f t="shared" si="83"/>
        <v xml:space="preserve"> 2.0% </v>
      </c>
      <c r="AI193" t="s">
        <v>938</v>
      </c>
      <c r="AK193" t="str">
        <f t="shared" si="84"/>
        <v xml:space="preserve"> No major challenges </v>
      </c>
      <c r="AL193" t="str">
        <f t="shared" si="85"/>
        <v xml:space="preserve"> 1.0% </v>
      </c>
      <c r="AM193" t="s">
        <v>938</v>
      </c>
      <c r="AN193" t="s">
        <v>0</v>
      </c>
      <c r="AO193" t="str">
        <f t="shared" si="86"/>
        <v xml:space="preserve"> 1.0% </v>
      </c>
      <c r="AP193" t="s">
        <v>314</v>
      </c>
      <c r="AQ193" t="str">
        <f t="shared" si="87"/>
        <v xml:space="preserve"> No major challenges </v>
      </c>
      <c r="AR193" t="str">
        <f t="shared" si="88"/>
        <v xml:space="preserve"> 2.0% </v>
      </c>
      <c r="AS193" t="s">
        <v>1072</v>
      </c>
      <c r="AT193" t="str">
        <f t="shared" si="89"/>
        <v xml:space="preserve"> No major challenges </v>
      </c>
      <c r="AU193" t="str">
        <f t="shared" si="90"/>
        <v xml:space="preserve"> 6.0% </v>
      </c>
      <c r="AV193" t="s">
        <v>1241</v>
      </c>
      <c r="AW193" t="str">
        <f t="shared" si="91"/>
        <v>No major challenges</v>
      </c>
      <c r="AX193" t="str">
        <f t="shared" si="92"/>
        <v xml:space="preserve"> 3.0% </v>
      </c>
    </row>
    <row r="194" spans="1:50" x14ac:dyDescent="0.45">
      <c r="A194" t="s">
        <v>53</v>
      </c>
      <c r="B194" t="str">
        <f t="shared" si="62"/>
        <v/>
      </c>
      <c r="C194" t="str">
        <f t="shared" si="63"/>
        <v/>
      </c>
      <c r="D194" t="s">
        <v>222</v>
      </c>
      <c r="E194" t="str">
        <f t="shared" si="64"/>
        <v/>
      </c>
      <c r="F194" t="str">
        <f t="shared" si="65"/>
        <v/>
      </c>
      <c r="G194" t="s">
        <v>53</v>
      </c>
      <c r="H194" t="str">
        <f t="shared" si="66"/>
        <v/>
      </c>
      <c r="I194" t="str">
        <f t="shared" si="67"/>
        <v/>
      </c>
      <c r="J194" t="s">
        <v>53</v>
      </c>
      <c r="K194" t="str">
        <f t="shared" si="68"/>
        <v/>
      </c>
      <c r="L194" t="str">
        <f t="shared" si="69"/>
        <v/>
      </c>
      <c r="M194" t="s">
        <v>53</v>
      </c>
      <c r="N194" t="str">
        <f t="shared" si="70"/>
        <v/>
      </c>
      <c r="O194" t="str">
        <f t="shared" si="71"/>
        <v/>
      </c>
      <c r="P194" t="s">
        <v>53</v>
      </c>
      <c r="Q194" t="str">
        <f t="shared" si="72"/>
        <v/>
      </c>
      <c r="R194" t="str">
        <f t="shared" si="73"/>
        <v/>
      </c>
      <c r="S194" t="s">
        <v>53</v>
      </c>
      <c r="T194" t="str">
        <f t="shared" si="74"/>
        <v/>
      </c>
      <c r="U194" t="str">
        <f t="shared" si="75"/>
        <v/>
      </c>
      <c r="V194" t="s">
        <v>53</v>
      </c>
      <c r="W194" t="str">
        <f t="shared" si="76"/>
        <v/>
      </c>
      <c r="X194" t="str">
        <f t="shared" si="77"/>
        <v/>
      </c>
      <c r="Y194" t="s">
        <v>53</v>
      </c>
      <c r="Z194" t="str">
        <f t="shared" si="78"/>
        <v/>
      </c>
      <c r="AA194" t="str">
        <f t="shared" si="79"/>
        <v/>
      </c>
      <c r="AB194" t="s">
        <v>53</v>
      </c>
      <c r="AC194" t="str">
        <f t="shared" si="80"/>
        <v/>
      </c>
      <c r="AD194" t="str">
        <f t="shared" si="81"/>
        <v/>
      </c>
      <c r="AF194" t="s">
        <v>53</v>
      </c>
      <c r="AG194" t="str">
        <f t="shared" si="82"/>
        <v/>
      </c>
      <c r="AH194" t="str">
        <f t="shared" si="83"/>
        <v/>
      </c>
      <c r="AI194" t="s">
        <v>53</v>
      </c>
      <c r="AK194" t="str">
        <f t="shared" si="84"/>
        <v/>
      </c>
      <c r="AL194" t="str">
        <f t="shared" si="85"/>
        <v/>
      </c>
      <c r="AM194" t="s">
        <v>53</v>
      </c>
      <c r="AN194" t="s">
        <v>0</v>
      </c>
      <c r="AO194" t="str">
        <f t="shared" si="86"/>
        <v/>
      </c>
      <c r="AP194" t="s">
        <v>53</v>
      </c>
      <c r="AQ194" t="str">
        <f t="shared" si="87"/>
        <v/>
      </c>
      <c r="AR194" t="str">
        <f t="shared" si="88"/>
        <v/>
      </c>
      <c r="AS194" t="s">
        <v>53</v>
      </c>
      <c r="AT194" t="str">
        <f t="shared" si="89"/>
        <v/>
      </c>
      <c r="AU194" t="str">
        <f t="shared" si="90"/>
        <v/>
      </c>
      <c r="AV194" t="s">
        <v>1130</v>
      </c>
      <c r="AW194" t="str">
        <f t="shared" si="91"/>
        <v/>
      </c>
      <c r="AX194" t="str">
        <f t="shared" si="92"/>
        <v/>
      </c>
    </row>
    <row r="195" spans="1:50" x14ac:dyDescent="0.45">
      <c r="A195" t="s">
        <v>161</v>
      </c>
      <c r="B195" t="str">
        <f t="shared" ref="B195:B212" si="93">IF(AND(LEFT(A195,1)="|",RIGHT(A195,1)="|",LEN(A195)-LEN(SUBSTITUTE(A195,"|",""))=3,LEN(TRIM(_xlfn.TEXTBEFORE(_xlfn.TEXTAFTER(A195,"|"),"|")))&gt;0,LEN(TRIM(_xlfn.TEXTBEFORE(_xlfn.TEXTAFTER(A195,"|",2),"|")))&gt;0),_xlfn.TEXTBEFORE(_xlfn.TEXTAFTER(A195,"|"),"|"),"")</f>
        <v xml:space="preserve"> Data quality / availability </v>
      </c>
      <c r="C195" t="str">
        <f t="shared" ref="C195:C212" si="94">IF(AND(LEFT(A195,1)="|",RIGHT(A195,1)="|",LEN(A195)-LEN(SUBSTITUTE(A195,"|",""))=3,LEN(TRIM(_xlfn.TEXTBEFORE(_xlfn.TEXTAFTER(A195,"|"),"|")))&gt;0,LEN(TRIM(_xlfn.TEXTBEFORE(_xlfn.TEXTAFTER(A195,"|",2),"|")))&gt;0),_xlfn.TEXTBEFORE(_xlfn.TEXTAFTER(A195,"|",2),"|"),"")</f>
        <v xml:space="preserve"> 35.0% </v>
      </c>
      <c r="D195" t="s">
        <v>319</v>
      </c>
      <c r="E195" t="str">
        <f t="shared" ref="E195:E212" si="95">IF(AND(LEFT(D195,1)="|",RIGHT(D195,1)="|",LEN(D195)-LEN(SUBSTITUTE(D195,"|",""))=3,LEN(TRIM(_xlfn.TEXTBEFORE(_xlfn.TEXTAFTER(D195,"|"),"|")))&gt;0,LEN(TRIM(_xlfn.TEXTBEFORE(_xlfn.TEXTAFTER(D195,"|",2),"|")))&gt;0),_xlfn.TEXTBEFORE(_xlfn.TEXTAFTER(D195,"|"),"|"),"")</f>
        <v xml:space="preserve"> Data quality / availability </v>
      </c>
      <c r="F195" t="str">
        <f t="shared" ref="F195:F212" si="96">IF(AND(LEFT(D195,1)="|",RIGHT(D195,1)="|",LEN(D195)-LEN(SUBSTITUTE(D195,"|",""))=3,LEN(TRIM(_xlfn.TEXTBEFORE(_xlfn.TEXTAFTER(D195,"|"),"|")))&gt;0,LEN(TRIM(_xlfn.TEXTBEFORE(_xlfn.TEXTAFTER(D195,"|",2),"|")))&gt;0),_xlfn.TEXTBEFORE(_xlfn.TEXTAFTER(D195,"|",2),"|"),"")</f>
        <v xml:space="preserve"> 28.0% </v>
      </c>
      <c r="G195" t="s">
        <v>319</v>
      </c>
      <c r="H195" t="str">
        <f t="shared" ref="H195:H212" si="97">IF(AND(LEFT(G195,1)="|",RIGHT(G195,1)="|",LEN(G195)-LEN(SUBSTITUTE(G195,"|",""))=3,LEN(TRIM(_xlfn.TEXTBEFORE(_xlfn.TEXTAFTER(G195,"|"),"|")))&gt;0,LEN(TRIM(_xlfn.TEXTBEFORE(_xlfn.TEXTAFTER(G195,"|",2),"|")))&gt;0),_xlfn.TEXTBEFORE(_xlfn.TEXTAFTER(G195,"|"),"|"),"")</f>
        <v xml:space="preserve"> Data quality / availability </v>
      </c>
      <c r="I195" t="str">
        <f t="shared" ref="I195:I212" si="98">IF(AND(LEFT(G195,1)="|",RIGHT(G195,1)="|",LEN(G195)-LEN(SUBSTITUTE(G195,"|",""))=3,LEN(TRIM(_xlfn.TEXTBEFORE(_xlfn.TEXTAFTER(G195,"|"),"|")))&gt;0,LEN(TRIM(_xlfn.TEXTBEFORE(_xlfn.TEXTAFTER(G195,"|",2),"|")))&gt;0),_xlfn.TEXTBEFORE(_xlfn.TEXTAFTER(G195,"|",2),"|"),"")</f>
        <v xml:space="preserve"> 28.0% </v>
      </c>
      <c r="J195" t="s">
        <v>155</v>
      </c>
      <c r="K195" t="str">
        <f t="shared" ref="K195:K212" si="99">IF(AND(LEFT(J195,1)="|",RIGHT(J195,1)="|",LEN(J195)-LEN(SUBSTITUTE(J195,"|",""))=3,LEN(TRIM(_xlfn.TEXTBEFORE(_xlfn.TEXTAFTER(J195,"|"),"|")))&gt;0,LEN(TRIM(_xlfn.TEXTBEFORE(_xlfn.TEXTAFTER(J195,"|",2),"|")))&gt;0),_xlfn.TEXTBEFORE(_xlfn.TEXTAFTER(J195,"|"),"|"),"")</f>
        <v xml:space="preserve"> Data quality / availability </v>
      </c>
      <c r="L195" t="str">
        <f t="shared" ref="L195:L212" si="100">IF(AND(LEFT(J195,1)="|",RIGHT(J195,1)="|",LEN(J195)-LEN(SUBSTITUTE(J195,"|",""))=3,LEN(TRIM(_xlfn.TEXTBEFORE(_xlfn.TEXTAFTER(J195,"|"),"|")))&gt;0,LEN(TRIM(_xlfn.TEXTBEFORE(_xlfn.TEXTAFTER(J195,"|",2),"|")))&gt;0),_xlfn.TEXTBEFORE(_xlfn.TEXTAFTER(J195,"|",2),"|"),"")</f>
        <v xml:space="preserve"> 30.0% </v>
      </c>
      <c r="M195" t="s">
        <v>525</v>
      </c>
      <c r="N195" t="str">
        <f t="shared" ref="N195:N212" si="101">IF(AND(LEFT(M195,1)="|",RIGHT(M195,1)="|",LEN(M195)-LEN(SUBSTITUTE(M195,"|",""))=3,LEN(TRIM(_xlfn.TEXTBEFORE(_xlfn.TEXTAFTER(M195,"|"),"|")))&gt;0,LEN(TRIM(_xlfn.TEXTBEFORE(_xlfn.TEXTAFTER(M195,"|",2),"|")))&gt;0),_xlfn.TEXTBEFORE(_xlfn.TEXTAFTER(M195,"|"),"|"),"")</f>
        <v xml:space="preserve"> Data quality / availability </v>
      </c>
      <c r="O195" t="str">
        <f t="shared" ref="O195:O212" si="102">IF(AND(LEFT(M195,1)="|",RIGHT(M195,1)="|",LEN(M195)-LEN(SUBSTITUTE(M195,"|",""))=3,LEN(TRIM(_xlfn.TEXTBEFORE(_xlfn.TEXTAFTER(M195,"|"),"|")))&gt;0,LEN(TRIM(_xlfn.TEXTBEFORE(_xlfn.TEXTAFTER(M195,"|",2),"|")))&gt;0),_xlfn.TEXTBEFORE(_xlfn.TEXTAFTER(M195,"|",2),"|"),"")</f>
        <v xml:space="preserve"> 27.0% </v>
      </c>
      <c r="P195" t="s">
        <v>310</v>
      </c>
      <c r="Q195" t="str">
        <f t="shared" ref="Q195:Q212" si="103">IF(AND(LEFT(P195,1)="|",RIGHT(P195,1)="|",LEN(P195)-LEN(SUBSTITUTE(P195,"|",""))=3,LEN(TRIM(_xlfn.TEXTBEFORE(_xlfn.TEXTAFTER(P195,"|"),"|")))&gt;0,LEN(TRIM(_xlfn.TEXTBEFORE(_xlfn.TEXTAFTER(P195,"|",2),"|")))&gt;0),_xlfn.TEXTBEFORE(_xlfn.TEXTAFTER(P195,"|"),"|"),"")</f>
        <v xml:space="preserve"> Data quality / availability </v>
      </c>
      <c r="R195" t="str">
        <f t="shared" ref="R195:R212" si="104">IF(AND(LEFT(P195,1)="|",RIGHT(P195,1)="|",LEN(P195)-LEN(SUBSTITUTE(P195,"|",""))=3,LEN(TRIM(_xlfn.TEXTBEFORE(_xlfn.TEXTAFTER(P195,"|"),"|")))&gt;0,LEN(TRIM(_xlfn.TEXTBEFORE(_xlfn.TEXTAFTER(P195,"|",2),"|")))&gt;0),_xlfn.TEXTBEFORE(_xlfn.TEXTAFTER(P195,"|",2),"|"),"")</f>
        <v xml:space="preserve"> 32.0% </v>
      </c>
      <c r="S195" t="s">
        <v>155</v>
      </c>
      <c r="T195" t="str">
        <f t="shared" ref="T195:T212" si="105">IF(AND(LEFT(S195,1)="|",RIGHT(S195,1)="|",LEN(S195)-LEN(SUBSTITUTE(S195,"|",""))=3,LEN(TRIM(_xlfn.TEXTBEFORE(_xlfn.TEXTAFTER(S195,"|"),"|")))&gt;0,LEN(TRIM(_xlfn.TEXTBEFORE(_xlfn.TEXTAFTER(S195,"|",2),"|")))&gt;0),_xlfn.TEXTBEFORE(_xlfn.TEXTAFTER(S195,"|"),"|"),"")</f>
        <v xml:space="preserve"> Data quality / availability </v>
      </c>
      <c r="U195" t="str">
        <f t="shared" ref="U195:U212" si="106">IF(AND(LEFT(S195,1)="|",RIGHT(S195,1)="|",LEN(S195)-LEN(SUBSTITUTE(S195,"|",""))=3,LEN(TRIM(_xlfn.TEXTBEFORE(_xlfn.TEXTAFTER(S195,"|"),"|")))&gt;0,LEN(TRIM(_xlfn.TEXTBEFORE(_xlfn.TEXTAFTER(S195,"|",2),"|")))&gt;0),_xlfn.TEXTBEFORE(_xlfn.TEXTAFTER(S195,"|",2),"|"),"")</f>
        <v xml:space="preserve"> 30.0% </v>
      </c>
      <c r="V195" t="s">
        <v>148</v>
      </c>
      <c r="W195" t="str">
        <f t="shared" ref="W195:W212" si="107">IF(AND(LEFT(V195,1)="|",RIGHT(V195,1)="|",LEN(V195)-LEN(SUBSTITUTE(V195,"|",""))=3,LEN(TRIM(_xlfn.TEXTBEFORE(_xlfn.TEXTAFTER(V195,"|"),"|")))&gt;0,LEN(TRIM(_xlfn.TEXTBEFORE(_xlfn.TEXTAFTER(V195,"|",2),"|")))&gt;0),_xlfn.TEXTBEFORE(_xlfn.TEXTAFTER(V195,"|"),"|"),"")</f>
        <v xml:space="preserve"> Data quality / availability </v>
      </c>
      <c r="X195" t="str">
        <f t="shared" ref="X195:X212" si="108">IF(AND(LEFT(V195,1)="|",RIGHT(V195,1)="|",LEN(V195)-LEN(SUBSTITUTE(V195,"|",""))=3,LEN(TRIM(_xlfn.TEXTBEFORE(_xlfn.TEXTAFTER(V195,"|"),"|")))&gt;0,LEN(TRIM(_xlfn.TEXTBEFORE(_xlfn.TEXTAFTER(V195,"|",2),"|")))&gt;0),_xlfn.TEXTBEFORE(_xlfn.TEXTAFTER(V195,"|",2),"|"),"")</f>
        <v xml:space="preserve"> 40.0% </v>
      </c>
      <c r="Y195" t="s">
        <v>161</v>
      </c>
      <c r="Z195" t="str">
        <f t="shared" ref="Z195:Z212" si="109">IF(AND(LEFT(Y195,1)="|",RIGHT(Y195,1)="|",LEN(Y195)-LEN(SUBSTITUTE(Y195,"|",""))=3,LEN(TRIM(_xlfn.TEXTBEFORE(_xlfn.TEXTAFTER(Y195,"|"),"|")))&gt;0,LEN(TRIM(_xlfn.TEXTBEFORE(_xlfn.TEXTAFTER(Y195,"|",2),"|")))&gt;0),_xlfn.TEXTBEFORE(_xlfn.TEXTAFTER(Y195,"|"),"|"),"")</f>
        <v xml:space="preserve"> Data quality / availability </v>
      </c>
      <c r="AA195" t="str">
        <f t="shared" ref="AA195:AA212" si="110">IF(AND(LEFT(Y195,1)="|",RIGHT(Y195,1)="|",LEN(Y195)-LEN(SUBSTITUTE(Y195,"|",""))=3,LEN(TRIM(_xlfn.TEXTBEFORE(_xlfn.TEXTAFTER(Y195,"|"),"|")))&gt;0,LEN(TRIM(_xlfn.TEXTBEFORE(_xlfn.TEXTAFTER(Y195,"|",2),"|")))&gt;0),_xlfn.TEXTBEFORE(_xlfn.TEXTAFTER(Y195,"|",2),"|"),"")</f>
        <v xml:space="preserve"> 35.0% </v>
      </c>
      <c r="AB195" t="s">
        <v>401</v>
      </c>
      <c r="AC195" t="str">
        <f t="shared" ref="AC195:AC212" si="111">IF(AND(LEFT(AB195,1)="|",RIGHT(AB195,1)="|",LEN(AB195)-LEN(SUBSTITUTE(AB195,"|",""))=3,LEN(TRIM(_xlfn.TEXTBEFORE(_xlfn.TEXTAFTER(AB195,"|"),"|")))&gt;0,LEN(TRIM(_xlfn.TEXTBEFORE(_xlfn.TEXTAFTER(AB195,"|",2),"|")))&gt;0),_xlfn.TEXTBEFORE(_xlfn.TEXTAFTER(AB195,"|"),"|"),"")</f>
        <v xml:space="preserve"> Data quality / availability </v>
      </c>
      <c r="AD195" t="str">
        <f t="shared" ref="AD195:AD212" si="112">IF(AND(LEFT(AB195,1)="|",RIGHT(AB195,1)="|",LEN(AB195)-LEN(SUBSTITUTE(AB195,"|",""))=3,LEN(TRIM(_xlfn.TEXTBEFORE(_xlfn.TEXTAFTER(AB195,"|"),"|")))&gt;0,LEN(TRIM(_xlfn.TEXTBEFORE(_xlfn.TEXTAFTER(AB195,"|",2),"|")))&gt;0),_xlfn.TEXTBEFORE(_xlfn.TEXTAFTER(AB195,"|",2),"|"),"")</f>
        <v xml:space="preserve"> 25.0% </v>
      </c>
      <c r="AF195" t="s">
        <v>310</v>
      </c>
      <c r="AG195" t="str">
        <f t="shared" ref="AG195:AG212" si="113">IF(AND(LEFT(AF195,1)="|",RIGHT(AF195,1)="|",LEN(AF195)-LEN(SUBSTITUTE(AF195,"|",""))=3,LEN(TRIM(_xlfn.TEXTBEFORE(_xlfn.TEXTAFTER(AF195,"|"),"|")))&gt;0,LEN(TRIM(_xlfn.TEXTBEFORE(_xlfn.TEXTAFTER(AF195,"|",2),"|")))&gt;0),_xlfn.TEXTBEFORE(_xlfn.TEXTAFTER(AF195,"|"),"|"),"")</f>
        <v xml:space="preserve"> Data quality / availability </v>
      </c>
      <c r="AH195" t="str">
        <f t="shared" ref="AH195:AH212" si="114">IF(AND(LEFT(AF195,1)="|",RIGHT(AF195,1)="|",LEN(AF195)-LEN(SUBSTITUTE(AF195,"|",""))=3,LEN(TRIM(_xlfn.TEXTBEFORE(_xlfn.TEXTAFTER(AF195,"|"),"|")))&gt;0,LEN(TRIM(_xlfn.TEXTBEFORE(_xlfn.TEXTAFTER(AF195,"|",2),"|")))&gt;0),_xlfn.TEXTBEFORE(_xlfn.TEXTAFTER(AF195,"|",2),"|"),"")</f>
        <v xml:space="preserve"> 32.0% </v>
      </c>
      <c r="AI195" t="s">
        <v>968</v>
      </c>
      <c r="AK195" t="str">
        <f t="shared" ref="AK195:AK212" si="115">IF(AND(LEFT(AI195,1)="|",RIGHT(AI195,1)="|",LEN(AI195)-LEN(SUBSTITUTE(AI195,"|",""))=3,LEN(TRIM(_xlfn.TEXTBEFORE(_xlfn.TEXTAFTER(AI195,"|"),"|")))&gt;0,LEN(TRIM(_xlfn.TEXTBEFORE(_xlfn.TEXTAFTER(AI195,"|",2),"|")))&gt;0),_xlfn.TEXTBEFORE(_xlfn.TEXTAFTER(AI195,"|"),"|"),"")</f>
        <v xml:space="preserve"> Data quality / availability </v>
      </c>
      <c r="AL195" t="str">
        <f t="shared" ref="AL195:AL212" si="116">IF(AND(LEFT(AI195,1)="|",RIGHT(AI195,1)="|",LEN(AI195)-LEN(SUBSTITUTE(AI195,"|",""))=3,LEN(TRIM(_xlfn.TEXTBEFORE(_xlfn.TEXTAFTER(AI195,"|"),"|")))&gt;0,LEN(TRIM(_xlfn.TEXTBEFORE(_xlfn.TEXTAFTER(AI195,"|",2),"|")))&gt;0),_xlfn.TEXTBEFORE(_xlfn.TEXTAFTER(AI195,"|",2),"|"),"")</f>
        <v xml:space="preserve"> 45.0% </v>
      </c>
      <c r="AM195" t="s">
        <v>161</v>
      </c>
      <c r="AN195" t="s">
        <v>0</v>
      </c>
      <c r="AO195" t="str">
        <f t="shared" ref="AO195:AO212" si="117">IF(AND(LEFT(AM195,1)="|",RIGHT(AM195,1)="|",LEN(AM195)-LEN(SUBSTITUTE(AM195,"|",""))=3,LEN(TRIM(_xlfn.TEXTBEFORE(_xlfn.TEXTAFTER(AM195,"|"),"|")))&gt;0,LEN(TRIM(_xlfn.TEXTBEFORE(_xlfn.TEXTAFTER(AM195,"|",2),"|")))&gt;0),_xlfn.TEXTBEFORE(_xlfn.TEXTAFTER(AM195,"|",2),"|"),"")</f>
        <v xml:space="preserve"> 35.0% </v>
      </c>
      <c r="AP195" t="s">
        <v>1029</v>
      </c>
      <c r="AQ195" t="str">
        <f t="shared" ref="AQ195:AQ212" si="118">IF(AND(LEFT(AP195,1)="|",RIGHT(AP195,1)="|",LEN(AP195)-LEN(SUBSTITUTE(AP195,"|",""))=3,LEN(TRIM(_xlfn.TEXTBEFORE(_xlfn.TEXTAFTER(AP195,"|"),"|")))&gt;0,LEN(TRIM(_xlfn.TEXTBEFORE(_xlfn.TEXTAFTER(AP195,"|",2),"|")))&gt;0),_xlfn.TEXTBEFORE(_xlfn.TEXTAFTER(AP195,"|"),"|"),"")</f>
        <v xml:space="preserve"> Data quality / availability </v>
      </c>
      <c r="AR195" t="str">
        <f t="shared" ref="AR195:AR212" si="119">IF(AND(LEFT(AP195,1)="|",RIGHT(AP195,1)="|",LEN(AP195)-LEN(SUBSTITUTE(AP195,"|",""))=3,LEN(TRIM(_xlfn.TEXTBEFORE(_xlfn.TEXTAFTER(AP195,"|"),"|")))&gt;0,LEN(TRIM(_xlfn.TEXTBEFORE(_xlfn.TEXTAFTER(AP195,"|",2),"|")))&gt;0),_xlfn.TEXTBEFORE(_xlfn.TEXTAFTER(AP195,"|",2),"|"),"")</f>
        <v xml:space="preserve"> 26.0% </v>
      </c>
      <c r="AS195" t="s">
        <v>319</v>
      </c>
      <c r="AT195" t="str">
        <f t="shared" ref="AT195:AT212" si="120">IF(AND(LEFT(AS195,1)="|",RIGHT(AS195,1)="|",LEN(AS195)-LEN(SUBSTITUTE(AS195,"|",""))=3,LEN(TRIM(_xlfn.TEXTBEFORE(_xlfn.TEXTAFTER(AS195,"|"),"|")))&gt;0,LEN(TRIM(_xlfn.TEXTBEFORE(_xlfn.TEXTAFTER(AS195,"|",2),"|")))&gt;0),_xlfn.TEXTBEFORE(_xlfn.TEXTAFTER(AS195,"|"),"|"),"")</f>
        <v xml:space="preserve"> Data quality / availability </v>
      </c>
      <c r="AU195" t="str">
        <f t="shared" ref="AU195:AU212" si="121">IF(AND(LEFT(AS195,1)="|",RIGHT(AS195,1)="|",LEN(AS195)-LEN(SUBSTITUTE(AS195,"|",""))=3,LEN(TRIM(_xlfn.TEXTBEFORE(_xlfn.TEXTAFTER(AS195,"|"),"|")))&gt;0,LEN(TRIM(_xlfn.TEXTBEFORE(_xlfn.TEXTAFTER(AS195,"|",2),"|")))&gt;0),_xlfn.TEXTBEFORE(_xlfn.TEXTAFTER(AS195,"|",2),"|"),"")</f>
        <v xml:space="preserve"> 28.0% </v>
      </c>
      <c r="AV195" t="s">
        <v>1242</v>
      </c>
      <c r="AW195" t="str">
        <f t="shared" ref="AW195:AW212" si="122">IF(AND(LEFT(AV195,1)="|",RIGHT(AV195,1)="|",LEN(AV195)-LEN(SUBSTITUTE(AV195,"|",""))=3,LEN(TRIM(_xlfn.TEXTBEFORE(_xlfn.TEXTAFTER(AV195,"|"),"|")))&gt;0,LEN(TRIM(_xlfn.TEXTBEFORE(_xlfn.TEXTAFTER(AV195,"|",2),"|")))&gt;0),_xlfn.TEXTBEFORE(_xlfn.TEXTAFTER(AV195,"|"),"|"),"")</f>
        <v>Data quality / availability</v>
      </c>
      <c r="AX195" t="str">
        <f t="shared" ref="AX195:AX212" si="123">IF(AND(LEFT(AV195,1)="|",RIGHT(AV195,1)="|",LEN(AV195)-LEN(SUBSTITUTE(AV195,"|",""))=3,LEN(TRIM(_xlfn.TEXTBEFORE(_xlfn.TEXTAFTER(AV195,"|"),"|")))&gt;0,LEN(TRIM(_xlfn.TEXTBEFORE(_xlfn.TEXTAFTER(AV195,"|",2),"|")))&gt;0),_xlfn.TEXTBEFORE(_xlfn.TEXTAFTER(AV195,"|",2),"|"),"")</f>
        <v xml:space="preserve"> 45.0% </v>
      </c>
    </row>
    <row r="196" spans="1:50" x14ac:dyDescent="0.45">
      <c r="A196" t="s">
        <v>149</v>
      </c>
      <c r="B196" t="str">
        <f t="shared" si="93"/>
        <v xml:space="preserve"> Explainability &amp; trust </v>
      </c>
      <c r="C196" t="str">
        <f t="shared" si="94"/>
        <v xml:space="preserve"> 15.0% </v>
      </c>
      <c r="D196" t="s">
        <v>320</v>
      </c>
      <c r="E196" t="str">
        <f t="shared" si="95"/>
        <v xml:space="preserve"> Explainability &amp; trust </v>
      </c>
      <c r="F196" t="str">
        <f t="shared" si="96"/>
        <v xml:space="preserve"> 16.0% </v>
      </c>
      <c r="G196" t="s">
        <v>590</v>
      </c>
      <c r="H196" t="str">
        <f t="shared" si="97"/>
        <v xml:space="preserve"> Explainability &amp; trust </v>
      </c>
      <c r="I196" t="str">
        <f t="shared" si="98"/>
        <v xml:space="preserve"> 10.0% </v>
      </c>
      <c r="J196" t="s">
        <v>149</v>
      </c>
      <c r="K196" t="str">
        <f t="shared" si="99"/>
        <v xml:space="preserve"> Explainability &amp; trust </v>
      </c>
      <c r="L196" t="str">
        <f t="shared" si="100"/>
        <v xml:space="preserve"> 15.0% </v>
      </c>
      <c r="M196" t="s">
        <v>149</v>
      </c>
      <c r="N196" t="str">
        <f t="shared" si="101"/>
        <v xml:space="preserve"> Explainability &amp; trust </v>
      </c>
      <c r="O196" t="str">
        <f t="shared" si="102"/>
        <v xml:space="preserve"> 15.0% </v>
      </c>
      <c r="P196" t="s">
        <v>149</v>
      </c>
      <c r="Q196" t="str">
        <f t="shared" si="103"/>
        <v xml:space="preserve"> Explainability &amp; trust </v>
      </c>
      <c r="R196" t="str">
        <f t="shared" si="104"/>
        <v xml:space="preserve"> 15.0% </v>
      </c>
      <c r="S196" t="s">
        <v>590</v>
      </c>
      <c r="T196" t="str">
        <f t="shared" si="105"/>
        <v xml:space="preserve"> Explainability &amp; trust </v>
      </c>
      <c r="U196" t="str">
        <f t="shared" si="106"/>
        <v xml:space="preserve"> 10.0% </v>
      </c>
      <c r="V196" t="s">
        <v>590</v>
      </c>
      <c r="W196" t="str">
        <f t="shared" si="107"/>
        <v xml:space="preserve"> Explainability &amp; trust </v>
      </c>
      <c r="X196" t="str">
        <f t="shared" si="108"/>
        <v xml:space="preserve"> 10.0% </v>
      </c>
      <c r="Y196" t="s">
        <v>149</v>
      </c>
      <c r="Z196" t="str">
        <f t="shared" si="109"/>
        <v xml:space="preserve"> Explainability &amp; trust </v>
      </c>
      <c r="AA196" t="str">
        <f t="shared" si="110"/>
        <v xml:space="preserve"> 15.0% </v>
      </c>
      <c r="AB196" t="s">
        <v>149</v>
      </c>
      <c r="AC196" t="str">
        <f t="shared" si="111"/>
        <v xml:space="preserve"> Explainability &amp; trust </v>
      </c>
      <c r="AD196" t="str">
        <f t="shared" si="112"/>
        <v xml:space="preserve"> 15.0% </v>
      </c>
      <c r="AF196" t="s">
        <v>311</v>
      </c>
      <c r="AG196" t="str">
        <f t="shared" si="113"/>
        <v xml:space="preserve"> Explainability &amp; trust </v>
      </c>
      <c r="AH196" t="str">
        <f t="shared" si="114"/>
        <v xml:space="preserve"> 18.0% </v>
      </c>
      <c r="AI196" t="s">
        <v>590</v>
      </c>
      <c r="AK196" t="str">
        <f t="shared" si="115"/>
        <v xml:space="preserve"> Explainability &amp; trust </v>
      </c>
      <c r="AL196" t="str">
        <f t="shared" si="116"/>
        <v xml:space="preserve"> 10.0% </v>
      </c>
      <c r="AM196" t="s">
        <v>149</v>
      </c>
      <c r="AN196" t="s">
        <v>0</v>
      </c>
      <c r="AO196" t="str">
        <f t="shared" si="117"/>
        <v xml:space="preserve"> 15.0% </v>
      </c>
      <c r="AP196" t="s">
        <v>588</v>
      </c>
      <c r="AQ196" t="str">
        <f t="shared" si="118"/>
        <v xml:space="preserve"> Explainability &amp; trust </v>
      </c>
      <c r="AR196" t="str">
        <f t="shared" si="119"/>
        <v xml:space="preserve"> 12.0% </v>
      </c>
      <c r="AS196" t="s">
        <v>402</v>
      </c>
      <c r="AT196" t="str">
        <f t="shared" si="120"/>
        <v xml:space="preserve"> Explainability &amp; trust </v>
      </c>
      <c r="AU196" t="str">
        <f t="shared" si="121"/>
        <v xml:space="preserve"> 20.0% </v>
      </c>
      <c r="AV196" t="s">
        <v>1243</v>
      </c>
      <c r="AW196" t="str">
        <f t="shared" si="122"/>
        <v>Explainability &amp; trust</v>
      </c>
      <c r="AX196" t="str">
        <f t="shared" si="123"/>
        <v xml:space="preserve"> 20.0% </v>
      </c>
    </row>
    <row r="197" spans="1:50" x14ac:dyDescent="0.45">
      <c r="A197" t="s">
        <v>162</v>
      </c>
      <c r="B197" t="str">
        <f t="shared" si="93"/>
        <v xml:space="preserve"> Skills &amp; expertise </v>
      </c>
      <c r="C197" t="str">
        <f t="shared" si="94"/>
        <v xml:space="preserve"> 25.0% </v>
      </c>
      <c r="D197" t="s">
        <v>150</v>
      </c>
      <c r="E197" t="str">
        <f t="shared" si="95"/>
        <v xml:space="preserve"> Skills &amp; expertise </v>
      </c>
      <c r="F197" t="str">
        <f t="shared" si="96"/>
        <v xml:space="preserve"> 20.0% </v>
      </c>
      <c r="G197" t="s">
        <v>162</v>
      </c>
      <c r="H197" t="str">
        <f t="shared" si="97"/>
        <v xml:space="preserve"> Skills &amp; expertise </v>
      </c>
      <c r="I197" t="str">
        <f t="shared" si="98"/>
        <v xml:space="preserve"> 25.0% </v>
      </c>
      <c r="J197" t="s">
        <v>150</v>
      </c>
      <c r="K197" t="str">
        <f t="shared" si="99"/>
        <v xml:space="preserve"> Skills &amp; expertise </v>
      </c>
      <c r="L197" t="str">
        <f t="shared" si="100"/>
        <v xml:space="preserve"> 20.0% </v>
      </c>
      <c r="M197" t="s">
        <v>526</v>
      </c>
      <c r="N197" t="str">
        <f t="shared" si="101"/>
        <v xml:space="preserve"> Skills &amp; expertise </v>
      </c>
      <c r="O197" t="str">
        <f t="shared" si="102"/>
        <v xml:space="preserve"> 18.0% </v>
      </c>
      <c r="P197" t="s">
        <v>157</v>
      </c>
      <c r="Q197" t="str">
        <f t="shared" si="103"/>
        <v xml:space="preserve"> Skills &amp; expertise </v>
      </c>
      <c r="R197" t="str">
        <f t="shared" si="104"/>
        <v xml:space="preserve"> 15.0% </v>
      </c>
      <c r="S197" t="s">
        <v>713</v>
      </c>
      <c r="T197" t="str">
        <f t="shared" si="105"/>
        <v xml:space="preserve"> Skills &amp; expertise </v>
      </c>
      <c r="U197" t="str">
        <f t="shared" si="106"/>
        <v xml:space="preserve"> 22.0% </v>
      </c>
      <c r="V197" t="s">
        <v>162</v>
      </c>
      <c r="W197" t="str">
        <f t="shared" si="107"/>
        <v xml:space="preserve"> Skills &amp; expertise </v>
      </c>
      <c r="X197" t="str">
        <f t="shared" si="108"/>
        <v xml:space="preserve"> 25.0% </v>
      </c>
      <c r="Y197" t="s">
        <v>150</v>
      </c>
      <c r="Z197" t="str">
        <f t="shared" si="109"/>
        <v xml:space="preserve"> Skills &amp; expertise </v>
      </c>
      <c r="AA197" t="str">
        <f t="shared" si="110"/>
        <v xml:space="preserve"> 20.0% </v>
      </c>
      <c r="AB197" t="s">
        <v>833</v>
      </c>
      <c r="AC197" t="str">
        <f t="shared" si="111"/>
        <v xml:space="preserve"> Skills &amp; expertise </v>
      </c>
      <c r="AD197" t="str">
        <f t="shared" si="112"/>
        <v xml:space="preserve"> 30.0% </v>
      </c>
      <c r="AF197" t="s">
        <v>910</v>
      </c>
      <c r="AG197" t="str">
        <f t="shared" si="113"/>
        <v xml:space="preserve"> Skills &amp; expertise </v>
      </c>
      <c r="AH197" t="str">
        <f t="shared" si="114"/>
        <v xml:space="preserve"> 24.0% </v>
      </c>
      <c r="AI197" t="s">
        <v>162</v>
      </c>
      <c r="AK197" t="str">
        <f t="shared" si="115"/>
        <v xml:space="preserve"> Skills &amp; expertise </v>
      </c>
      <c r="AL197" t="str">
        <f t="shared" si="116"/>
        <v xml:space="preserve"> 25.0% </v>
      </c>
      <c r="AM197" t="s">
        <v>150</v>
      </c>
      <c r="AN197" t="s">
        <v>0</v>
      </c>
      <c r="AO197" t="str">
        <f t="shared" si="117"/>
        <v xml:space="preserve"> 20.0% </v>
      </c>
      <c r="AP197" t="s">
        <v>526</v>
      </c>
      <c r="AQ197" t="str">
        <f t="shared" si="118"/>
        <v xml:space="preserve"> Skills &amp; expertise </v>
      </c>
      <c r="AR197" t="str">
        <f t="shared" si="119"/>
        <v xml:space="preserve"> 18.0% </v>
      </c>
      <c r="AS197" t="s">
        <v>312</v>
      </c>
      <c r="AT197" t="str">
        <f t="shared" si="120"/>
        <v xml:space="preserve"> Skills &amp; expertise </v>
      </c>
      <c r="AU197" t="str">
        <f t="shared" si="121"/>
        <v xml:space="preserve"> 16.0% </v>
      </c>
      <c r="AV197" t="s">
        <v>1244</v>
      </c>
      <c r="AW197" t="str">
        <f t="shared" si="122"/>
        <v>Skills &amp; expertise</v>
      </c>
      <c r="AX197" t="str">
        <f t="shared" si="123"/>
        <v xml:space="preserve"> 25.0% </v>
      </c>
    </row>
    <row r="198" spans="1:50" x14ac:dyDescent="0.45">
      <c r="A198" t="s">
        <v>163</v>
      </c>
      <c r="B198" t="str">
        <f t="shared" si="93"/>
        <v xml:space="preserve"> Integration with existing systems </v>
      </c>
      <c r="C198" t="str">
        <f t="shared" si="94"/>
        <v xml:space="preserve"> 10.0% </v>
      </c>
      <c r="D198" t="s">
        <v>321</v>
      </c>
      <c r="E198" t="str">
        <f t="shared" si="95"/>
        <v xml:space="preserve"> Integration with existing systems </v>
      </c>
      <c r="F198" t="str">
        <f t="shared" si="96"/>
        <v xml:space="preserve"> 18.0% </v>
      </c>
      <c r="G198" t="s">
        <v>151</v>
      </c>
      <c r="H198" t="str">
        <f t="shared" si="97"/>
        <v xml:space="preserve"> Integration with existing systems </v>
      </c>
      <c r="I198" t="str">
        <f t="shared" si="98"/>
        <v xml:space="preserve"> 15.0% </v>
      </c>
      <c r="J198" t="s">
        <v>151</v>
      </c>
      <c r="K198" t="str">
        <f t="shared" si="99"/>
        <v xml:space="preserve"> Integration with existing systems </v>
      </c>
      <c r="L198" t="str">
        <f t="shared" si="100"/>
        <v xml:space="preserve"> 15.0% </v>
      </c>
      <c r="M198" t="s">
        <v>527</v>
      </c>
      <c r="N198" t="str">
        <f t="shared" si="101"/>
        <v xml:space="preserve"> Integration with existing systems </v>
      </c>
      <c r="O198" t="str">
        <f t="shared" si="102"/>
        <v xml:space="preserve"> 19.0% </v>
      </c>
      <c r="P198" t="s">
        <v>523</v>
      </c>
      <c r="Q198" t="str">
        <f t="shared" si="103"/>
        <v xml:space="preserve"> Integration with existing systems </v>
      </c>
      <c r="R198" t="str">
        <f t="shared" si="104"/>
        <v xml:space="preserve"> 16.0% </v>
      </c>
      <c r="S198" t="s">
        <v>158</v>
      </c>
      <c r="T198" t="str">
        <f t="shared" si="105"/>
        <v xml:space="preserve"> Integration with existing systems </v>
      </c>
      <c r="U198" t="str">
        <f t="shared" si="106"/>
        <v xml:space="preserve"> 20.0% </v>
      </c>
      <c r="V198" t="s">
        <v>767</v>
      </c>
      <c r="W198" t="str">
        <f t="shared" si="107"/>
        <v xml:space="preserve"> Integration with existing systems </v>
      </c>
      <c r="X198" t="str">
        <f t="shared" si="108"/>
        <v xml:space="preserve"> 12.0% </v>
      </c>
      <c r="Y198" t="s">
        <v>151</v>
      </c>
      <c r="Z198" t="str">
        <f t="shared" si="109"/>
        <v xml:space="preserve"> Integration with existing systems </v>
      </c>
      <c r="AA198" t="str">
        <f t="shared" si="110"/>
        <v xml:space="preserve"> 15.0% </v>
      </c>
      <c r="AB198" t="s">
        <v>158</v>
      </c>
      <c r="AC198" t="str">
        <f t="shared" si="111"/>
        <v xml:space="preserve"> Integration with existing systems </v>
      </c>
      <c r="AD198" t="str">
        <f t="shared" si="112"/>
        <v xml:space="preserve"> 20.0% </v>
      </c>
      <c r="AF198" t="s">
        <v>911</v>
      </c>
      <c r="AG198" t="str">
        <f t="shared" si="113"/>
        <v xml:space="preserve"> Integration with existing systems </v>
      </c>
      <c r="AH198" t="str">
        <f t="shared" si="114"/>
        <v xml:space="preserve"> 14.0% </v>
      </c>
      <c r="AI198" t="s">
        <v>163</v>
      </c>
      <c r="AK198" t="str">
        <f t="shared" si="115"/>
        <v xml:space="preserve"> Integration with existing systems </v>
      </c>
      <c r="AL198" t="str">
        <f t="shared" si="116"/>
        <v xml:space="preserve"> 10.0% </v>
      </c>
      <c r="AM198" t="s">
        <v>151</v>
      </c>
      <c r="AN198" t="s">
        <v>0</v>
      </c>
      <c r="AO198" t="str">
        <f t="shared" si="117"/>
        <v xml:space="preserve"> 15.0% </v>
      </c>
      <c r="AP198" t="s">
        <v>158</v>
      </c>
      <c r="AQ198" t="str">
        <f t="shared" si="118"/>
        <v xml:space="preserve"> Integration with existing systems </v>
      </c>
      <c r="AR198" t="str">
        <f t="shared" si="119"/>
        <v xml:space="preserve"> 20.0% </v>
      </c>
      <c r="AS198" t="s">
        <v>911</v>
      </c>
      <c r="AT198" t="str">
        <f t="shared" si="120"/>
        <v xml:space="preserve"> Integration with existing systems </v>
      </c>
      <c r="AU198" t="str">
        <f t="shared" si="121"/>
        <v xml:space="preserve"> 14.0% </v>
      </c>
      <c r="AV198" t="s">
        <v>1245</v>
      </c>
      <c r="AW198" t="str">
        <f t="shared" si="122"/>
        <v>Integration with existing systems</v>
      </c>
      <c r="AX198" t="str">
        <f t="shared" si="123"/>
        <v xml:space="preserve"> 30.0% </v>
      </c>
    </row>
    <row r="199" spans="1:50" x14ac:dyDescent="0.45">
      <c r="A199" t="s">
        <v>164</v>
      </c>
      <c r="B199" t="str">
        <f t="shared" si="93"/>
        <v xml:space="preserve"> Cost / ROI justification </v>
      </c>
      <c r="C199" t="str">
        <f t="shared" si="94"/>
        <v xml:space="preserve"> 10.0% </v>
      </c>
      <c r="D199" t="s">
        <v>322</v>
      </c>
      <c r="E199" t="str">
        <f t="shared" si="95"/>
        <v xml:space="preserve"> Cost / ROI justification </v>
      </c>
      <c r="F199" t="str">
        <f t="shared" si="96"/>
        <v xml:space="preserve"> 12.0% </v>
      </c>
      <c r="G199" t="s">
        <v>528</v>
      </c>
      <c r="H199" t="str">
        <f t="shared" si="97"/>
        <v xml:space="preserve"> Cost / ROI justification </v>
      </c>
      <c r="I199" t="str">
        <f t="shared" si="98"/>
        <v xml:space="preserve"> 14.0% </v>
      </c>
      <c r="J199" t="s">
        <v>164</v>
      </c>
      <c r="K199" t="str">
        <f t="shared" si="99"/>
        <v xml:space="preserve"> Cost / ROI justification </v>
      </c>
      <c r="L199" t="str">
        <f t="shared" si="100"/>
        <v xml:space="preserve"> 10.0% </v>
      </c>
      <c r="M199" t="s">
        <v>528</v>
      </c>
      <c r="N199" t="str">
        <f t="shared" si="101"/>
        <v xml:space="preserve"> Cost / ROI justification </v>
      </c>
      <c r="O199" t="str">
        <f t="shared" si="102"/>
        <v xml:space="preserve"> 14.0% </v>
      </c>
      <c r="P199" t="s">
        <v>322</v>
      </c>
      <c r="Q199" t="str">
        <f t="shared" si="103"/>
        <v xml:space="preserve"> Cost / ROI justification </v>
      </c>
      <c r="R199" t="str">
        <f t="shared" si="104"/>
        <v xml:space="preserve"> 12.0% </v>
      </c>
      <c r="S199" t="s">
        <v>164</v>
      </c>
      <c r="T199" t="str">
        <f t="shared" si="105"/>
        <v xml:space="preserve"> Cost / ROI justification </v>
      </c>
      <c r="U199" t="str">
        <f t="shared" si="106"/>
        <v xml:space="preserve"> 10.0% </v>
      </c>
      <c r="V199" t="s">
        <v>152</v>
      </c>
      <c r="W199" t="str">
        <f t="shared" si="107"/>
        <v xml:space="preserve"> Cost / ROI justification </v>
      </c>
      <c r="X199" t="str">
        <f t="shared" si="108"/>
        <v xml:space="preserve"> 8.0% </v>
      </c>
      <c r="Y199" t="s">
        <v>164</v>
      </c>
      <c r="Z199" t="str">
        <f t="shared" si="109"/>
        <v xml:space="preserve"> Cost / ROI justification </v>
      </c>
      <c r="AA199" t="str">
        <f t="shared" si="110"/>
        <v xml:space="preserve"> 10.0% </v>
      </c>
      <c r="AB199" t="s">
        <v>159</v>
      </c>
      <c r="AC199" t="str">
        <f t="shared" si="111"/>
        <v xml:space="preserve"> Cost / ROI justification </v>
      </c>
      <c r="AD199" t="str">
        <f t="shared" si="112"/>
        <v xml:space="preserve"> 5.0% </v>
      </c>
      <c r="AF199" t="s">
        <v>152</v>
      </c>
      <c r="AG199" t="str">
        <f t="shared" si="113"/>
        <v xml:space="preserve"> Cost / ROI justification </v>
      </c>
      <c r="AH199" t="str">
        <f t="shared" si="114"/>
        <v xml:space="preserve"> 8.0% </v>
      </c>
      <c r="AI199" t="s">
        <v>159</v>
      </c>
      <c r="AK199" t="str">
        <f t="shared" si="115"/>
        <v xml:space="preserve"> Cost / ROI justification </v>
      </c>
      <c r="AL199" t="str">
        <f t="shared" si="116"/>
        <v xml:space="preserve"> 5.0% </v>
      </c>
      <c r="AM199" t="s">
        <v>164</v>
      </c>
      <c r="AN199" t="s">
        <v>0</v>
      </c>
      <c r="AO199" t="str">
        <f t="shared" si="117"/>
        <v xml:space="preserve"> 10.0% </v>
      </c>
      <c r="AP199" t="s">
        <v>1030</v>
      </c>
      <c r="AQ199" t="str">
        <f t="shared" si="118"/>
        <v xml:space="preserve"> Cost / ROI justification </v>
      </c>
      <c r="AR199" t="str">
        <f t="shared" si="119"/>
        <v xml:space="preserve"> 19.0% </v>
      </c>
      <c r="AS199" t="s">
        <v>322</v>
      </c>
      <c r="AT199" t="str">
        <f t="shared" si="120"/>
        <v xml:space="preserve"> Cost / ROI justification </v>
      </c>
      <c r="AU199" t="str">
        <f t="shared" si="121"/>
        <v xml:space="preserve"> 12.0% </v>
      </c>
      <c r="AV199" t="s">
        <v>1246</v>
      </c>
      <c r="AW199" t="str">
        <f t="shared" si="122"/>
        <v>Cost / ROI justification</v>
      </c>
      <c r="AX199" t="str">
        <f t="shared" si="123"/>
        <v xml:space="preserve"> 20.0% </v>
      </c>
    </row>
    <row r="200" spans="1:50" x14ac:dyDescent="0.45">
      <c r="A200" t="s">
        <v>160</v>
      </c>
      <c r="B200" t="str">
        <f t="shared" si="93"/>
        <v xml:space="preserve"> Regulatory / compliance concerns </v>
      </c>
      <c r="C200" t="str">
        <f t="shared" si="94"/>
        <v xml:space="preserve"> 5.0% </v>
      </c>
      <c r="D200" t="s">
        <v>313</v>
      </c>
      <c r="E200" t="str">
        <f t="shared" si="95"/>
        <v xml:space="preserve"> Regulatory / compliance concerns </v>
      </c>
      <c r="F200" t="str">
        <f t="shared" si="96"/>
        <v xml:space="preserve"> 4.0% </v>
      </c>
      <c r="G200" t="s">
        <v>160</v>
      </c>
      <c r="H200" t="str">
        <f t="shared" si="97"/>
        <v xml:space="preserve"> Regulatory / compliance concerns </v>
      </c>
      <c r="I200" t="str">
        <f t="shared" si="98"/>
        <v xml:space="preserve"> 5.0% </v>
      </c>
      <c r="J200" t="s">
        <v>160</v>
      </c>
      <c r="K200" t="str">
        <f t="shared" si="99"/>
        <v xml:space="preserve"> Regulatory / compliance concerns </v>
      </c>
      <c r="L200" t="str">
        <f t="shared" si="100"/>
        <v xml:space="preserve"> 5.0% </v>
      </c>
      <c r="M200" t="s">
        <v>160</v>
      </c>
      <c r="N200" t="str">
        <f t="shared" si="101"/>
        <v xml:space="preserve"> Regulatory / compliance concerns </v>
      </c>
      <c r="O200" t="str">
        <f t="shared" si="102"/>
        <v xml:space="preserve"> 5.0% </v>
      </c>
      <c r="P200" t="s">
        <v>649</v>
      </c>
      <c r="Q200" t="str">
        <f t="shared" si="103"/>
        <v xml:space="preserve"> Regulatory / compliance concerns </v>
      </c>
      <c r="R200" t="str">
        <f t="shared" si="104"/>
        <v xml:space="preserve"> 7.0% </v>
      </c>
      <c r="S200" t="s">
        <v>160</v>
      </c>
      <c r="T200" t="str">
        <f t="shared" si="105"/>
        <v xml:space="preserve"> Regulatory / compliance concerns </v>
      </c>
      <c r="U200" t="str">
        <f t="shared" si="106"/>
        <v xml:space="preserve"> 5.0% </v>
      </c>
      <c r="V200" t="s">
        <v>768</v>
      </c>
      <c r="W200" t="str">
        <f t="shared" si="107"/>
        <v xml:space="preserve"> Regulatory / compliance concerns </v>
      </c>
      <c r="X200" t="str">
        <f t="shared" si="108"/>
        <v xml:space="preserve"> 3.0% </v>
      </c>
      <c r="Y200" t="s">
        <v>768</v>
      </c>
      <c r="Z200" t="str">
        <f t="shared" si="109"/>
        <v xml:space="preserve"> Regulatory / compliance concerns </v>
      </c>
      <c r="AA200" t="str">
        <f t="shared" si="110"/>
        <v xml:space="preserve"> 3.0% </v>
      </c>
      <c r="AB200" t="s">
        <v>768</v>
      </c>
      <c r="AC200" t="str">
        <f t="shared" si="111"/>
        <v xml:space="preserve"> Regulatory / compliance concerns </v>
      </c>
      <c r="AD200" t="str">
        <f t="shared" si="112"/>
        <v xml:space="preserve"> 3.0% </v>
      </c>
      <c r="AF200" t="s">
        <v>153</v>
      </c>
      <c r="AG200" t="str">
        <f t="shared" si="113"/>
        <v xml:space="preserve"> Regulatory / compliance concerns </v>
      </c>
      <c r="AH200" t="str">
        <f t="shared" si="114"/>
        <v xml:space="preserve"> 2.0% </v>
      </c>
      <c r="AI200" t="s">
        <v>768</v>
      </c>
      <c r="AK200" t="str">
        <f t="shared" si="115"/>
        <v xml:space="preserve"> Regulatory / compliance concerns </v>
      </c>
      <c r="AL200" t="str">
        <f t="shared" si="116"/>
        <v xml:space="preserve"> 3.0% </v>
      </c>
      <c r="AM200" t="s">
        <v>313</v>
      </c>
      <c r="AN200" t="s">
        <v>0</v>
      </c>
      <c r="AO200" t="str">
        <f t="shared" si="117"/>
        <v xml:space="preserve"> 4.0% </v>
      </c>
      <c r="AP200" t="s">
        <v>313</v>
      </c>
      <c r="AQ200" t="str">
        <f t="shared" si="118"/>
        <v xml:space="preserve"> Regulatory / compliance concerns </v>
      </c>
      <c r="AR200" t="str">
        <f t="shared" si="119"/>
        <v xml:space="preserve"> 4.0% </v>
      </c>
      <c r="AS200" t="s">
        <v>1071</v>
      </c>
      <c r="AT200" t="str">
        <f t="shared" si="120"/>
        <v xml:space="preserve"> Regulatory / compliance concerns </v>
      </c>
      <c r="AU200" t="str">
        <f t="shared" si="121"/>
        <v xml:space="preserve"> 6.0% </v>
      </c>
      <c r="AV200" t="s">
        <v>1233</v>
      </c>
      <c r="AW200" t="str">
        <f t="shared" si="122"/>
        <v>Regulatory / compliance concerns</v>
      </c>
      <c r="AX200" t="str">
        <f t="shared" si="123"/>
        <v xml:space="preserve"> 15.0% </v>
      </c>
    </row>
    <row r="201" spans="1:50" x14ac:dyDescent="0.45">
      <c r="A201" t="s">
        <v>154</v>
      </c>
      <c r="B201" t="str">
        <f t="shared" si="93"/>
        <v xml:space="preserve"> No major challenges </v>
      </c>
      <c r="C201" t="str">
        <f t="shared" si="94"/>
        <v xml:space="preserve"> 0.0% </v>
      </c>
      <c r="D201" t="s">
        <v>314</v>
      </c>
      <c r="E201" t="str">
        <f t="shared" si="95"/>
        <v xml:space="preserve"> No major challenges </v>
      </c>
      <c r="F201" t="str">
        <f t="shared" si="96"/>
        <v xml:space="preserve"> 2.0% </v>
      </c>
      <c r="G201" t="s">
        <v>589</v>
      </c>
      <c r="H201" t="str">
        <f t="shared" si="97"/>
        <v xml:space="preserve"> No major challenges </v>
      </c>
      <c r="I201" t="str">
        <f t="shared" si="98"/>
        <v xml:space="preserve"> 3.0% </v>
      </c>
      <c r="J201" t="s">
        <v>403</v>
      </c>
      <c r="K201" t="str">
        <f t="shared" si="99"/>
        <v xml:space="preserve"> No major challenges </v>
      </c>
      <c r="L201" t="str">
        <f t="shared" si="100"/>
        <v xml:space="preserve"> 5.0% </v>
      </c>
      <c r="M201" t="s">
        <v>314</v>
      </c>
      <c r="N201" t="str">
        <f t="shared" si="101"/>
        <v xml:space="preserve"> No major challenges </v>
      </c>
      <c r="O201" t="str">
        <f t="shared" si="102"/>
        <v xml:space="preserve"> 2.0% </v>
      </c>
      <c r="P201" t="s">
        <v>589</v>
      </c>
      <c r="Q201" t="str">
        <f t="shared" si="103"/>
        <v xml:space="preserve"> No major challenges </v>
      </c>
      <c r="R201" t="str">
        <f t="shared" si="104"/>
        <v xml:space="preserve"> 3.0% </v>
      </c>
      <c r="S201" t="s">
        <v>589</v>
      </c>
      <c r="T201" t="str">
        <f t="shared" si="105"/>
        <v xml:space="preserve"> No major challenges </v>
      </c>
      <c r="U201" t="str">
        <f t="shared" si="106"/>
        <v xml:space="preserve"> 3.0% </v>
      </c>
      <c r="V201" t="s">
        <v>314</v>
      </c>
      <c r="W201" t="str">
        <f t="shared" si="107"/>
        <v xml:space="preserve"> No major challenges </v>
      </c>
      <c r="X201" t="str">
        <f t="shared" si="108"/>
        <v xml:space="preserve"> 2.0% </v>
      </c>
      <c r="Y201" t="s">
        <v>314</v>
      </c>
      <c r="Z201" t="str">
        <f t="shared" si="109"/>
        <v xml:space="preserve"> No major challenges </v>
      </c>
      <c r="AA201" t="str">
        <f t="shared" si="110"/>
        <v xml:space="preserve"> 2.0% </v>
      </c>
      <c r="AB201" t="s">
        <v>314</v>
      </c>
      <c r="AC201" t="str">
        <f t="shared" si="111"/>
        <v xml:space="preserve"> No major challenges </v>
      </c>
      <c r="AD201" t="str">
        <f t="shared" si="112"/>
        <v xml:space="preserve"> 2.0% </v>
      </c>
      <c r="AF201" t="s">
        <v>314</v>
      </c>
      <c r="AG201" t="str">
        <f t="shared" si="113"/>
        <v xml:space="preserve"> No major challenges </v>
      </c>
      <c r="AH201" t="str">
        <f t="shared" si="114"/>
        <v xml:space="preserve"> 2.0% </v>
      </c>
      <c r="AI201" t="s">
        <v>314</v>
      </c>
      <c r="AK201" t="str">
        <f t="shared" si="115"/>
        <v xml:space="preserve"> No major challenges </v>
      </c>
      <c r="AL201" t="str">
        <f t="shared" si="116"/>
        <v xml:space="preserve"> 2.0% </v>
      </c>
      <c r="AM201" t="s">
        <v>938</v>
      </c>
      <c r="AN201" t="s">
        <v>0</v>
      </c>
      <c r="AO201" t="str">
        <f t="shared" si="117"/>
        <v xml:space="preserve"> 1.0% </v>
      </c>
      <c r="AP201" t="s">
        <v>938</v>
      </c>
      <c r="AQ201" t="str">
        <f t="shared" si="118"/>
        <v xml:space="preserve"> No major challenges </v>
      </c>
      <c r="AR201" t="str">
        <f t="shared" si="119"/>
        <v xml:space="preserve"> 1.0% </v>
      </c>
      <c r="AS201" t="s">
        <v>648</v>
      </c>
      <c r="AT201" t="str">
        <f t="shared" si="120"/>
        <v xml:space="preserve"> No major challenges </v>
      </c>
      <c r="AU201" t="str">
        <f t="shared" si="121"/>
        <v xml:space="preserve"> 4.0% </v>
      </c>
      <c r="AV201" t="s">
        <v>1247</v>
      </c>
      <c r="AW201" t="str">
        <f t="shared" si="122"/>
        <v>No major challenges</v>
      </c>
      <c r="AX201" t="str">
        <f t="shared" si="123"/>
        <v xml:space="preserve"> 10.0% </v>
      </c>
    </row>
    <row r="202" spans="1:50" x14ac:dyDescent="0.45">
      <c r="A202" t="s">
        <v>165</v>
      </c>
      <c r="C202" t="str">
        <f t="shared" si="94"/>
        <v/>
      </c>
      <c r="D202" t="s">
        <v>323</v>
      </c>
      <c r="E202" t="str">
        <f t="shared" si="95"/>
        <v/>
      </c>
      <c r="F202" t="str">
        <f t="shared" si="96"/>
        <v/>
      </c>
      <c r="G202" t="s">
        <v>165</v>
      </c>
      <c r="H202" t="str">
        <f t="shared" si="97"/>
        <v/>
      </c>
      <c r="I202" t="str">
        <f t="shared" si="98"/>
        <v/>
      </c>
      <c r="J202" t="s">
        <v>165</v>
      </c>
      <c r="K202" t="str">
        <f t="shared" si="99"/>
        <v/>
      </c>
      <c r="L202" t="str">
        <f t="shared" si="100"/>
        <v/>
      </c>
      <c r="M202" t="s">
        <v>165</v>
      </c>
      <c r="N202" t="str">
        <f t="shared" si="101"/>
        <v/>
      </c>
      <c r="O202" t="str">
        <f t="shared" si="102"/>
        <v/>
      </c>
      <c r="P202" t="s">
        <v>165</v>
      </c>
      <c r="Q202" t="str">
        <f t="shared" si="103"/>
        <v/>
      </c>
      <c r="R202" t="str">
        <f t="shared" si="104"/>
        <v/>
      </c>
      <c r="S202" t="s">
        <v>714</v>
      </c>
      <c r="T202" t="str">
        <f t="shared" si="105"/>
        <v/>
      </c>
      <c r="U202" t="str">
        <f t="shared" si="106"/>
        <v/>
      </c>
      <c r="V202" t="s">
        <v>714</v>
      </c>
      <c r="W202" t="str">
        <f t="shared" si="107"/>
        <v/>
      </c>
      <c r="X202" t="str">
        <f t="shared" si="108"/>
        <v/>
      </c>
      <c r="Y202" t="s">
        <v>165</v>
      </c>
      <c r="Z202" t="str">
        <f t="shared" si="109"/>
        <v/>
      </c>
      <c r="AA202" t="str">
        <f t="shared" si="110"/>
        <v/>
      </c>
      <c r="AB202" t="s">
        <v>165</v>
      </c>
      <c r="AC202" t="str">
        <f t="shared" si="111"/>
        <v/>
      </c>
      <c r="AD202" t="str">
        <f t="shared" si="112"/>
        <v/>
      </c>
      <c r="AF202" t="s">
        <v>165</v>
      </c>
      <c r="AG202" t="str">
        <f t="shared" si="113"/>
        <v/>
      </c>
      <c r="AH202" t="str">
        <f t="shared" si="114"/>
        <v/>
      </c>
      <c r="AI202" t="s">
        <v>165</v>
      </c>
      <c r="AK202" t="str">
        <f t="shared" si="115"/>
        <v/>
      </c>
      <c r="AL202" t="str">
        <f t="shared" si="116"/>
        <v/>
      </c>
      <c r="AM202" t="s">
        <v>165</v>
      </c>
      <c r="AN202" t="s">
        <v>0</v>
      </c>
      <c r="AO202" t="str">
        <f t="shared" si="117"/>
        <v/>
      </c>
      <c r="AP202" t="s">
        <v>165</v>
      </c>
      <c r="AQ202" t="str">
        <f t="shared" si="118"/>
        <v/>
      </c>
      <c r="AR202" t="str">
        <f t="shared" si="119"/>
        <v/>
      </c>
      <c r="AS202" t="s">
        <v>165</v>
      </c>
      <c r="AT202" t="str">
        <f t="shared" si="120"/>
        <v/>
      </c>
      <c r="AU202" t="str">
        <f t="shared" si="121"/>
        <v/>
      </c>
      <c r="AV202" t="s">
        <v>1248</v>
      </c>
      <c r="AW202" t="str">
        <f t="shared" si="122"/>
        <v/>
      </c>
      <c r="AX202" t="str">
        <f t="shared" si="123"/>
        <v/>
      </c>
    </row>
    <row r="203" spans="1:50" x14ac:dyDescent="0.45">
      <c r="A203" t="s">
        <v>41</v>
      </c>
      <c r="B203" t="str">
        <f t="shared" si="93"/>
        <v/>
      </c>
      <c r="C203" t="str">
        <f t="shared" si="94"/>
        <v/>
      </c>
      <c r="D203" t="s">
        <v>212</v>
      </c>
      <c r="E203" t="str">
        <f t="shared" si="95"/>
        <v/>
      </c>
      <c r="F203" t="str">
        <f t="shared" si="96"/>
        <v/>
      </c>
      <c r="G203" t="s">
        <v>41</v>
      </c>
      <c r="H203" t="str">
        <f t="shared" si="97"/>
        <v/>
      </c>
      <c r="I203" t="str">
        <f t="shared" si="98"/>
        <v/>
      </c>
      <c r="J203" t="s">
        <v>41</v>
      </c>
      <c r="K203" t="str">
        <f t="shared" si="99"/>
        <v/>
      </c>
      <c r="L203" t="str">
        <f t="shared" si="100"/>
        <v/>
      </c>
      <c r="M203" t="s">
        <v>41</v>
      </c>
      <c r="N203" t="str">
        <f t="shared" si="101"/>
        <v/>
      </c>
      <c r="O203" t="str">
        <f t="shared" si="102"/>
        <v/>
      </c>
      <c r="P203" t="s">
        <v>41</v>
      </c>
      <c r="Q203" t="str">
        <f t="shared" si="103"/>
        <v/>
      </c>
      <c r="R203" t="str">
        <f t="shared" si="104"/>
        <v/>
      </c>
      <c r="S203" t="s">
        <v>41</v>
      </c>
      <c r="T203" t="str">
        <f t="shared" si="105"/>
        <v/>
      </c>
      <c r="U203" t="str">
        <f t="shared" si="106"/>
        <v/>
      </c>
      <c r="V203" t="s">
        <v>41</v>
      </c>
      <c r="W203" t="str">
        <f t="shared" si="107"/>
        <v/>
      </c>
      <c r="X203" t="str">
        <f t="shared" si="108"/>
        <v/>
      </c>
      <c r="Y203" t="s">
        <v>41</v>
      </c>
      <c r="Z203" t="str">
        <f t="shared" si="109"/>
        <v/>
      </c>
      <c r="AA203" t="str">
        <f t="shared" si="110"/>
        <v/>
      </c>
      <c r="AB203" t="s">
        <v>41</v>
      </c>
      <c r="AC203" t="str">
        <f t="shared" si="111"/>
        <v/>
      </c>
      <c r="AD203" t="str">
        <f t="shared" si="112"/>
        <v/>
      </c>
      <c r="AF203" t="s">
        <v>41</v>
      </c>
      <c r="AG203" t="str">
        <f t="shared" si="113"/>
        <v/>
      </c>
      <c r="AH203" t="str">
        <f t="shared" si="114"/>
        <v/>
      </c>
      <c r="AI203" t="s">
        <v>41</v>
      </c>
      <c r="AK203" t="str">
        <f t="shared" si="115"/>
        <v/>
      </c>
      <c r="AL203" t="str">
        <f t="shared" si="116"/>
        <v/>
      </c>
      <c r="AM203" t="s">
        <v>41</v>
      </c>
      <c r="AN203" t="s">
        <v>0</v>
      </c>
      <c r="AO203" t="str">
        <f t="shared" si="117"/>
        <v/>
      </c>
      <c r="AP203" t="s">
        <v>41</v>
      </c>
      <c r="AQ203" t="str">
        <f t="shared" si="118"/>
        <v/>
      </c>
      <c r="AR203" t="str">
        <f t="shared" si="119"/>
        <v/>
      </c>
      <c r="AS203" t="s">
        <v>41</v>
      </c>
      <c r="AT203" t="str">
        <f t="shared" si="120"/>
        <v/>
      </c>
      <c r="AU203" t="str">
        <f t="shared" si="121"/>
        <v/>
      </c>
      <c r="AV203" t="s">
        <v>1118</v>
      </c>
      <c r="AW203" t="str">
        <f t="shared" si="122"/>
        <v/>
      </c>
      <c r="AX203" t="str">
        <f t="shared" si="123"/>
        <v/>
      </c>
    </row>
    <row r="204" spans="1:50" x14ac:dyDescent="0.45">
      <c r="A204" t="s">
        <v>166</v>
      </c>
      <c r="B204" t="str">
        <f t="shared" si="93"/>
        <v xml:space="preserve"> Machine learning algorithms automated the reconciliation of massive CDR volumes, significantly reducing the time to identify unbilled events. </v>
      </c>
      <c r="C204" t="str">
        <f t="shared" si="94"/>
        <v xml:space="preserve"> N/A </v>
      </c>
      <c r="D204" t="s">
        <v>324</v>
      </c>
      <c r="E204" t="str">
        <f t="shared" si="95"/>
        <v xml:space="preserve"> AI-powered anomaly detection on billing data allowed us to identify and recover significant revenue leakage from misconfigured tariff plans within weeks of deployment. </v>
      </c>
      <c r="F204" t="str">
        <f t="shared" si="96"/>
        <v xml:space="preserve"> N/A </v>
      </c>
      <c r="G204" t="s">
        <v>591</v>
      </c>
      <c r="H204" t="str">
        <f t="shared" si="97"/>
        <v xml:space="preserve"> AI-based anomaly detection helped us identify recurring rating errors across prepaid recharge flows, recovering over $2M annually in previously undetected revenue leakage. </v>
      </c>
      <c r="I204" t="str">
        <f t="shared" si="98"/>
        <v xml:space="preserve"> N/A </v>
      </c>
      <c r="J204" t="s">
        <v>405</v>
      </c>
      <c r="K204" t="str">
        <f t="shared" si="99"/>
        <v xml:space="preserve"> AI helped us identify and prioritize revenue leakages in billing systems by analyzing usage patterns and anomalies. </v>
      </c>
      <c r="L204" t="str">
        <f t="shared" si="100"/>
        <v xml:space="preserve"> N/A </v>
      </c>
      <c r="M204" t="s">
        <v>529</v>
      </c>
      <c r="N204" t="str">
        <f t="shared" si="101"/>
        <v xml:space="preserve"> AI helped us prioritize leakage cases by scoring reconciliation breaks and highlighting the ones with the highest recoverable value. </v>
      </c>
      <c r="O204" t="str">
        <f t="shared" si="102"/>
        <v xml:space="preserve"> N/A </v>
      </c>
      <c r="P204" t="s">
        <v>650</v>
      </c>
      <c r="Q204" t="str">
        <f t="shared" si="103"/>
        <v xml:space="preserve"> AI helped us prioritize revenue leakage cases by ranking anomalies with the highest expected financial impact. </v>
      </c>
      <c r="R204" t="str">
        <f t="shared" si="104"/>
        <v xml:space="preserve"> N/A </v>
      </c>
      <c r="S204" t="s">
        <v>650</v>
      </c>
      <c r="T204" t="str">
        <f t="shared" si="105"/>
        <v xml:space="preserve"> AI helped us prioritize revenue leakage cases by ranking anomalies with the highest expected financial impact. </v>
      </c>
      <c r="U204" t="str">
        <f t="shared" si="106"/>
        <v xml:space="preserve"> N/A </v>
      </c>
      <c r="V204" t="s">
        <v>769</v>
      </c>
      <c r="W204" t="str">
        <f t="shared" si="107"/>
        <v xml:space="preserve"> AI-powered anomaly detection reduced revenue leakage by 15% through automated identification of billing discrepancies in real-time. </v>
      </c>
      <c r="X204" t="str">
        <f t="shared" si="108"/>
        <v xml:space="preserve"> N/A </v>
      </c>
      <c r="Y204" t="s">
        <v>800</v>
      </c>
      <c r="Z204" t="str">
        <f t="shared" si="109"/>
        <v xml:space="preserve"> AI automated revenue leakage detection by identifying high-value anomalies in billing data with 90% accuracy. </v>
      </c>
      <c r="AA204" t="str">
        <f t="shared" si="110"/>
        <v xml:space="preserve"> N/A </v>
      </c>
      <c r="AB204" t="s">
        <v>834</v>
      </c>
      <c r="AC204" t="str">
        <f t="shared" si="111"/>
        <v xml:space="preserve"> AI automated revenue reconciliation processes, identifying leakage opportunities much faster than traditional methods. </v>
      </c>
      <c r="AD204" t="str">
        <f t="shared" si="112"/>
        <v xml:space="preserve"> N/A </v>
      </c>
      <c r="AF204" t="s">
        <v>912</v>
      </c>
      <c r="AG204" t="str">
        <f t="shared" si="113"/>
        <v xml:space="preserve"> AI identified and ranked revenue leakage patterns by financial impact, reducing manual investigation time by 60%. </v>
      </c>
      <c r="AH204" t="str">
        <f t="shared" si="114"/>
        <v xml:space="preserve"> N/A </v>
      </c>
      <c r="AI204" t="s">
        <v>969</v>
      </c>
      <c r="AK204" t="str">
        <f t="shared" si="115"/>
        <v xml:space="preserve"> AI automated the identification and prioritization of billing discrepancies, reducing manual investigation time by 40%. </v>
      </c>
      <c r="AL204" t="str">
        <f t="shared" si="116"/>
        <v xml:space="preserve"> N/A </v>
      </c>
      <c r="AM204" t="s">
        <v>940</v>
      </c>
      <c r="AN204" t="s">
        <v>0</v>
      </c>
      <c r="AO204" t="str">
        <f t="shared" si="117"/>
        <v xml:space="preserve"> N/A </v>
      </c>
      <c r="AP204" t="s">
        <v>1031</v>
      </c>
      <c r="AQ204" t="str">
        <f t="shared" si="118"/>
        <v xml:space="preserve"> AI helped us prioritize revenue leakage anomalies by ranking cases by expected financial impact and reducing manual triage time. </v>
      </c>
      <c r="AR204" t="str">
        <f t="shared" si="119"/>
        <v xml:space="preserve"> N/A </v>
      </c>
      <c r="AS204" t="s">
        <v>1073</v>
      </c>
      <c r="AT204" t="str">
        <f t="shared" si="120"/>
        <v xml:space="preserve"> AI helped us prioritize revenue leakage cases by ranking anomalies by expected financial impact and recommending recovery actions. </v>
      </c>
      <c r="AU204" t="str">
        <f t="shared" si="121"/>
        <v xml:space="preserve"> N/A </v>
      </c>
      <c r="AV204" t="s">
        <v>1249</v>
      </c>
      <c r="AW204" t="str">
        <f t="shared" si="122"/>
        <v>AI helped prioritize revenue leakage cases by ranking anomalies with the highest potential financial impact.</v>
      </c>
      <c r="AX204" t="str">
        <f t="shared" si="123"/>
        <v xml:space="preserve"> N/A </v>
      </c>
    </row>
    <row r="205" spans="1:50" x14ac:dyDescent="0.45">
      <c r="A205" t="s">
        <v>47</v>
      </c>
      <c r="B205" t="str">
        <f t="shared" si="93"/>
        <v/>
      </c>
      <c r="C205" t="str">
        <f t="shared" si="94"/>
        <v/>
      </c>
      <c r="D205" t="s">
        <v>216</v>
      </c>
      <c r="E205" t="str">
        <f t="shared" si="95"/>
        <v/>
      </c>
      <c r="F205" t="str">
        <f t="shared" si="96"/>
        <v/>
      </c>
      <c r="G205" t="s">
        <v>47</v>
      </c>
      <c r="H205" t="str">
        <f t="shared" si="97"/>
        <v/>
      </c>
      <c r="I205" t="str">
        <f t="shared" si="98"/>
        <v/>
      </c>
      <c r="J205" t="s">
        <v>47</v>
      </c>
      <c r="K205" t="str">
        <f t="shared" si="99"/>
        <v/>
      </c>
      <c r="L205" t="str">
        <f t="shared" si="100"/>
        <v/>
      </c>
      <c r="M205" t="s">
        <v>47</v>
      </c>
      <c r="N205" t="str">
        <f t="shared" si="101"/>
        <v/>
      </c>
      <c r="O205" t="str">
        <f t="shared" si="102"/>
        <v/>
      </c>
      <c r="P205" t="s">
        <v>47</v>
      </c>
      <c r="Q205" t="str">
        <f t="shared" si="103"/>
        <v/>
      </c>
      <c r="R205" t="str">
        <f t="shared" si="104"/>
        <v/>
      </c>
      <c r="S205" t="s">
        <v>47</v>
      </c>
      <c r="T205" t="str">
        <f t="shared" si="105"/>
        <v/>
      </c>
      <c r="U205" t="str">
        <f t="shared" si="106"/>
        <v/>
      </c>
      <c r="V205" t="s">
        <v>47</v>
      </c>
      <c r="W205" t="str">
        <f t="shared" si="107"/>
        <v/>
      </c>
      <c r="X205" t="str">
        <f t="shared" si="108"/>
        <v/>
      </c>
      <c r="Y205" t="s">
        <v>47</v>
      </c>
      <c r="Z205" t="str">
        <f t="shared" si="109"/>
        <v/>
      </c>
      <c r="AA205" t="str">
        <f t="shared" si="110"/>
        <v/>
      </c>
      <c r="AB205" t="s">
        <v>47</v>
      </c>
      <c r="AC205" t="str">
        <f t="shared" si="111"/>
        <v/>
      </c>
      <c r="AD205" t="str">
        <f t="shared" si="112"/>
        <v/>
      </c>
      <c r="AF205" t="s">
        <v>47</v>
      </c>
      <c r="AG205" t="str">
        <f t="shared" si="113"/>
        <v/>
      </c>
      <c r="AH205" t="str">
        <f t="shared" si="114"/>
        <v/>
      </c>
      <c r="AI205" t="s">
        <v>47</v>
      </c>
      <c r="AK205" t="str">
        <f t="shared" si="115"/>
        <v/>
      </c>
      <c r="AL205" t="str">
        <f t="shared" si="116"/>
        <v/>
      </c>
      <c r="AM205" t="s">
        <v>47</v>
      </c>
      <c r="AN205" t="s">
        <v>0</v>
      </c>
      <c r="AO205" t="str">
        <f t="shared" si="117"/>
        <v/>
      </c>
      <c r="AP205" t="s">
        <v>47</v>
      </c>
      <c r="AQ205" t="str">
        <f t="shared" si="118"/>
        <v/>
      </c>
      <c r="AR205" t="str">
        <f t="shared" si="119"/>
        <v/>
      </c>
      <c r="AS205" t="s">
        <v>47</v>
      </c>
      <c r="AT205" t="str">
        <f t="shared" si="120"/>
        <v/>
      </c>
      <c r="AU205" t="str">
        <f t="shared" si="121"/>
        <v/>
      </c>
      <c r="AV205" t="s">
        <v>1124</v>
      </c>
      <c r="AW205" t="str">
        <f t="shared" si="122"/>
        <v/>
      </c>
      <c r="AX205" t="str">
        <f t="shared" si="123"/>
        <v/>
      </c>
    </row>
    <row r="206" spans="1:50" x14ac:dyDescent="0.45">
      <c r="A206" t="s">
        <v>167</v>
      </c>
      <c r="B206" t="str">
        <f t="shared" si="93"/>
        <v xml:space="preserve"> Implementing deep learning allowed us to detect IRSF and bypass fraud in real time by analyzing complex traffic anomalies. </v>
      </c>
      <c r="C206" t="str">
        <f t="shared" si="94"/>
        <v xml:space="preserve"> N/A </v>
      </c>
      <c r="D206" t="s">
        <v>325</v>
      </c>
      <c r="E206" t="str">
        <f t="shared" si="95"/>
        <v xml:space="preserve"> AI-based real-time scoring of call detail records enabled us to detect and block SIM box fraud significantly faster than our previous rule-based system. </v>
      </c>
      <c r="F206" t="str">
        <f t="shared" si="96"/>
        <v xml:space="preserve"> N/A </v>
      </c>
      <c r="G206" t="s">
        <v>592</v>
      </c>
      <c r="H206" t="str">
        <f t="shared" si="97"/>
        <v xml:space="preserve"> Machine learning models reduced SIM box fraud detection time from days to hours, significantly cutting revenue losses on international voice traffic. </v>
      </c>
      <c r="I206" t="str">
        <f t="shared" si="98"/>
        <v xml:space="preserve"> N/A </v>
      </c>
      <c r="J206" t="s">
        <v>406</v>
      </c>
      <c r="K206" t="str">
        <f t="shared" si="99"/>
        <v xml:space="preserve"> AI enhanced fraud detection by predicting and alerting on unusual call patterns in real-time, reducing financial losses. </v>
      </c>
      <c r="L206" t="str">
        <f t="shared" si="100"/>
        <v xml:space="preserve"> N/A </v>
      </c>
      <c r="M206" t="s">
        <v>530</v>
      </c>
      <c r="N206" t="str">
        <f t="shared" si="101"/>
        <v xml:space="preserve"> AI delivered the most value by detecting subscription and roaming fraud patterns earlier, reducing false positives and investigator workload. </v>
      </c>
      <c r="O206" t="str">
        <f t="shared" si="102"/>
        <v xml:space="preserve"> N/A </v>
      </c>
      <c r="P206" t="s">
        <v>651</v>
      </c>
      <c r="Q206" t="str">
        <f t="shared" si="103"/>
        <v xml:space="preserve"> AI improved fraud detection by identifying suspicious SIM swap patterns earlier and reducing manual investigation effort. </v>
      </c>
      <c r="R206" t="str">
        <f t="shared" si="104"/>
        <v xml:space="preserve"> N/A </v>
      </c>
      <c r="S206" t="s">
        <v>715</v>
      </c>
      <c r="T206" t="str">
        <f t="shared" si="105"/>
        <v xml:space="preserve"> AI improved fraud detection by identifying suspicious behavior patterns earlier and reducing manual investigation effort. </v>
      </c>
      <c r="U206" t="str">
        <f t="shared" si="106"/>
        <v xml:space="preserve"> N/A </v>
      </c>
      <c r="V206" t="s">
        <v>770</v>
      </c>
      <c r="W206" t="str">
        <f t="shared" si="107"/>
        <v xml:space="preserve"> Machine learning models cut SIM box fraud losses by 40% by detecting patterns in international call traffic that human analysts missed. </v>
      </c>
      <c r="X206" t="str">
        <f t="shared" si="108"/>
        <v xml:space="preserve"> N/A </v>
      </c>
      <c r="Y206" t="s">
        <v>801</v>
      </c>
      <c r="Z206" t="str">
        <f t="shared" si="109"/>
        <v xml:space="preserve"> AI real-time fraud detection reduced false positives by 40% and caught international bypassing attempts instantly. </v>
      </c>
      <c r="AA206" t="str">
        <f t="shared" si="110"/>
        <v xml:space="preserve"> N/A </v>
      </c>
      <c r="AB206" t="s">
        <v>835</v>
      </c>
      <c r="AC206" t="str">
        <f t="shared" si="111"/>
        <v xml:space="preserve"> AI enabled real-time fraud detection with machine learning models that reduced false positives and caught emerging patterns. </v>
      </c>
      <c r="AD206" t="str">
        <f t="shared" si="112"/>
        <v xml:space="preserve"> N/A </v>
      </c>
      <c r="AF206" t="s">
        <v>913</v>
      </c>
      <c r="AG206" t="str">
        <f t="shared" si="113"/>
        <v xml:space="preserve"> AI enhanced fraud detection accuracy by identifying subtle behavior anomalies that human analysts missed previously. </v>
      </c>
      <c r="AH206" t="str">
        <f t="shared" si="114"/>
        <v xml:space="preserve"> N/A </v>
      </c>
      <c r="AI206" t="s">
        <v>970</v>
      </c>
      <c r="AK206" t="str">
        <f t="shared" si="115"/>
        <v xml:space="preserve"> Machine learning models significantly reduced false positives in roaming fraud detection, allowing the team to focus on high-probability cases. </v>
      </c>
      <c r="AL206" t="str">
        <f t="shared" si="116"/>
        <v xml:space="preserve"> N/A </v>
      </c>
      <c r="AM206" t="s">
        <v>941</v>
      </c>
      <c r="AN206" t="s">
        <v>0</v>
      </c>
      <c r="AO206" t="str">
        <f t="shared" si="117"/>
        <v xml:space="preserve"> N/A </v>
      </c>
      <c r="AP206" t="s">
        <v>1032</v>
      </c>
      <c r="AQ206" t="str">
        <f t="shared" si="118"/>
        <v xml:space="preserve"> AI improved fraud detection by spotting suspicious SIM-box and identity patterns earlier, cutting false positives for investigators. </v>
      </c>
      <c r="AR206" t="str">
        <f t="shared" si="119"/>
        <v xml:space="preserve"> N/A </v>
      </c>
      <c r="AS206" t="s">
        <v>1074</v>
      </c>
      <c r="AT206" t="str">
        <f t="shared" si="120"/>
        <v xml:space="preserve"> AI quickly detected SIM-swap and subscription fraud by correlating device and behavioral signals, reducing losses and investigation time. </v>
      </c>
      <c r="AU206" t="str">
        <f t="shared" si="121"/>
        <v xml:space="preserve"> N/A </v>
      </c>
      <c r="AV206" t="s">
        <v>1250</v>
      </c>
      <c r="AW206" t="str">
        <f t="shared" si="122"/>
        <v>AI enabled earlier detection of fraudulent patterns across roaming and prepaid, reducing manual investigations.</v>
      </c>
      <c r="AX206" t="str">
        <f t="shared" si="123"/>
        <v xml:space="preserve"> N/A </v>
      </c>
    </row>
    <row r="207" spans="1:50" x14ac:dyDescent="0.45">
      <c r="A207" t="s">
        <v>53</v>
      </c>
      <c r="B207" t="str">
        <f t="shared" si="93"/>
        <v/>
      </c>
      <c r="C207" t="str">
        <f t="shared" si="94"/>
        <v/>
      </c>
      <c r="D207" t="s">
        <v>222</v>
      </c>
      <c r="E207" t="str">
        <f t="shared" si="95"/>
        <v/>
      </c>
      <c r="F207" t="str">
        <f t="shared" si="96"/>
        <v/>
      </c>
      <c r="G207" t="s">
        <v>53</v>
      </c>
      <c r="H207" t="str">
        <f t="shared" si="97"/>
        <v/>
      </c>
      <c r="I207" t="str">
        <f t="shared" si="98"/>
        <v/>
      </c>
      <c r="J207" t="s">
        <v>53</v>
      </c>
      <c r="K207" t="str">
        <f t="shared" si="99"/>
        <v/>
      </c>
      <c r="L207" t="str">
        <f t="shared" si="100"/>
        <v/>
      </c>
      <c r="M207" t="s">
        <v>53</v>
      </c>
      <c r="N207" t="str">
        <f t="shared" si="101"/>
        <v/>
      </c>
      <c r="O207" t="str">
        <f t="shared" si="102"/>
        <v/>
      </c>
      <c r="P207" t="s">
        <v>53</v>
      </c>
      <c r="Q207" t="str">
        <f t="shared" si="103"/>
        <v/>
      </c>
      <c r="R207" t="str">
        <f t="shared" si="104"/>
        <v/>
      </c>
      <c r="S207" t="s">
        <v>53</v>
      </c>
      <c r="T207" t="str">
        <f t="shared" si="105"/>
        <v/>
      </c>
      <c r="U207" t="str">
        <f t="shared" si="106"/>
        <v/>
      </c>
      <c r="V207" t="s">
        <v>53</v>
      </c>
      <c r="W207" t="str">
        <f t="shared" si="107"/>
        <v/>
      </c>
      <c r="X207" t="str">
        <f t="shared" si="108"/>
        <v/>
      </c>
      <c r="Y207" t="s">
        <v>53</v>
      </c>
      <c r="Z207" t="str">
        <f t="shared" si="109"/>
        <v/>
      </c>
      <c r="AA207" t="str">
        <f t="shared" si="110"/>
        <v/>
      </c>
      <c r="AB207" t="s">
        <v>53</v>
      </c>
      <c r="AC207" t="str">
        <f t="shared" si="111"/>
        <v/>
      </c>
      <c r="AD207" t="str">
        <f t="shared" si="112"/>
        <v/>
      </c>
      <c r="AF207" t="s">
        <v>53</v>
      </c>
      <c r="AG207" t="str">
        <f t="shared" si="113"/>
        <v/>
      </c>
      <c r="AH207" t="str">
        <f t="shared" si="114"/>
        <v/>
      </c>
      <c r="AI207" t="s">
        <v>53</v>
      </c>
      <c r="AK207" t="str">
        <f t="shared" si="115"/>
        <v/>
      </c>
      <c r="AL207" t="str">
        <f t="shared" si="116"/>
        <v/>
      </c>
      <c r="AM207" t="s">
        <v>53</v>
      </c>
      <c r="AN207" t="s">
        <v>0</v>
      </c>
      <c r="AO207" t="str">
        <f t="shared" si="117"/>
        <v/>
      </c>
      <c r="AP207" t="s">
        <v>53</v>
      </c>
      <c r="AQ207" t="str">
        <f t="shared" si="118"/>
        <v/>
      </c>
      <c r="AR207" t="str">
        <f t="shared" si="119"/>
        <v/>
      </c>
      <c r="AS207" t="s">
        <v>53</v>
      </c>
      <c r="AT207" t="str">
        <f t="shared" si="120"/>
        <v/>
      </c>
      <c r="AU207" t="str">
        <f t="shared" si="121"/>
        <v/>
      </c>
      <c r="AV207" t="s">
        <v>1130</v>
      </c>
      <c r="AW207" t="str">
        <f t="shared" si="122"/>
        <v/>
      </c>
      <c r="AX207" t="str">
        <f t="shared" si="123"/>
        <v/>
      </c>
    </row>
    <row r="208" spans="1:50" x14ac:dyDescent="0.45">
      <c r="A208" t="s">
        <v>168</v>
      </c>
      <c r="B208" t="str">
        <f t="shared" si="93"/>
        <v xml:space="preserve"> AI-driven anomaly detection in our network provisioning systems helped us reduce configuration errors and improve overall data quality. </v>
      </c>
      <c r="C208" t="str">
        <f t="shared" si="94"/>
        <v xml:space="preserve"> N/A </v>
      </c>
      <c r="D208" t="s">
        <v>326</v>
      </c>
      <c r="E208" t="str">
        <f t="shared" si="95"/>
        <v xml:space="preserve"> AI-driven data quality monitoring helped us automatically identify and escalate reconciliation breaks across multiple network domains, reducing manual effort and reporting delays. </v>
      </c>
      <c r="F208" t="str">
        <f t="shared" si="96"/>
        <v xml:space="preserve"> N/A </v>
      </c>
      <c r="G208" t="s">
        <v>593</v>
      </c>
      <c r="H208" t="str">
        <f t="shared" si="97"/>
        <v xml:space="preserve"> AI-powered reconciliation automation reduced manual effort by 60% and improved the accuracy of inter-system data matching across billing and mediation platforms. </v>
      </c>
      <c r="I208" t="str">
        <f t="shared" si="98"/>
        <v xml:space="preserve"> N/A </v>
      </c>
      <c r="J208" t="s">
        <v>407</v>
      </c>
      <c r="K208" t="str">
        <f t="shared" si="99"/>
        <v xml:space="preserve"> AI improved operational efficiency by automating data reconciliation processes across multiple telecom platforms. </v>
      </c>
      <c r="L208" t="str">
        <f t="shared" si="100"/>
        <v xml:space="preserve"> N/A </v>
      </c>
      <c r="M208" t="s">
        <v>531</v>
      </c>
      <c r="N208" t="str">
        <f t="shared" si="101"/>
        <v xml:space="preserve"> AI helped us detect operational anomalies in KPI and assurance data faster, improving reporting quality and issue triage for the business. </v>
      </c>
      <c r="O208" t="str">
        <f t="shared" si="102"/>
        <v xml:space="preserve"> N/A </v>
      </c>
      <c r="P208" t="s">
        <v>652</v>
      </c>
      <c r="Q208" t="str">
        <f t="shared" si="103"/>
        <v xml:space="preserve"> AI helped us automate data reconciliation across billing systems and reduce the time to detect operational anomalies. </v>
      </c>
      <c r="R208" t="str">
        <f t="shared" si="104"/>
        <v xml:space="preserve"> N/A </v>
      </c>
      <c r="S208" t="s">
        <v>716</v>
      </c>
      <c r="T208" t="str">
        <f t="shared" si="105"/>
        <v xml:space="preserve"> AI helped us detect operational anomalies faster and improve reporting quality for business stakeholders. </v>
      </c>
      <c r="U208" t="str">
        <f t="shared" si="106"/>
        <v xml:space="preserve"> N/A </v>
      </c>
      <c r="V208" t="s">
        <v>771</v>
      </c>
      <c r="W208" t="str">
        <f t="shared" si="107"/>
        <v xml:space="preserve"> AI-driven data quality checks improved reconciliation accuracy by 25% and reduced manual effort in partner settlement processes. </v>
      </c>
      <c r="X208" t="str">
        <f t="shared" si="108"/>
        <v xml:space="preserve"> N/A </v>
      </c>
      <c r="Y208" t="s">
        <v>802</v>
      </c>
      <c r="Z208" t="str">
        <f t="shared" si="109"/>
        <v xml:space="preserve"> AI improved data reconciliation processes by flagging inconsistencies across multiple systems automatically. </v>
      </c>
      <c r="AA208" t="str">
        <f t="shared" si="110"/>
        <v xml:space="preserve"> N/A </v>
      </c>
      <c r="AB208" t="s">
        <v>836</v>
      </c>
      <c r="AC208" t="str">
        <f t="shared" si="111"/>
        <v xml:space="preserve"> AI improved data quality monitoring, flagging inconsistencies across systems for quicker resolution. </v>
      </c>
      <c r="AD208" t="str">
        <f t="shared" si="112"/>
        <v xml:space="preserve"> N/A </v>
      </c>
      <c r="AF208" t="s">
        <v>914</v>
      </c>
      <c r="AG208" t="str">
        <f t="shared" si="113"/>
        <v xml:space="preserve"> AI improved data reconciliation quality and enabled faster root cause analysis for operational issues. </v>
      </c>
      <c r="AH208" t="str">
        <f t="shared" si="114"/>
        <v xml:space="preserve"> N/A </v>
      </c>
      <c r="AI208" t="s">
        <v>971</v>
      </c>
      <c r="AK208" t="str">
        <f t="shared" si="115"/>
        <v xml:space="preserve"> We used AI to correlate network performance data with customer billing records to identify churn risks related to poor service quality. </v>
      </c>
      <c r="AL208" t="str">
        <f t="shared" si="116"/>
        <v xml:space="preserve"> N/A </v>
      </c>
      <c r="AM208" t="s">
        <v>942</v>
      </c>
      <c r="AN208" t="s">
        <v>0</v>
      </c>
      <c r="AO208" t="str">
        <f t="shared" si="117"/>
        <v xml:space="preserve"> N/A </v>
      </c>
      <c r="AP208" t="s">
        <v>1033</v>
      </c>
      <c r="AQ208" t="str">
        <f t="shared" si="118"/>
        <v xml:space="preserve"> AI improved data quality by detecting reconciliation breaks and automating issue classification so teams fixed the right problems faster. </v>
      </c>
      <c r="AR208" t="str">
        <f t="shared" si="119"/>
        <v xml:space="preserve"> N/A </v>
      </c>
      <c r="AS208" t="s">
        <v>1075</v>
      </c>
      <c r="AT208" t="str">
        <f t="shared" si="120"/>
        <v xml:space="preserve"> AI automated reconciliation between billing and network records, cutting month-end close time and improving reporting accuracy. </v>
      </c>
      <c r="AU208" t="str">
        <f t="shared" si="121"/>
        <v xml:space="preserve"> N/A </v>
      </c>
      <c r="AV208" t="s">
        <v>1251</v>
      </c>
      <c r="AW208" t="str">
        <f t="shared" si="122"/>
        <v>AI helped surface operational anomalies and auto-generate executive summaries for senior stakeholders.</v>
      </c>
      <c r="AX208" t="str">
        <f t="shared" si="123"/>
        <v xml:space="preserve"> N/A </v>
      </c>
    </row>
    <row r="209" spans="1:50" x14ac:dyDescent="0.45">
      <c r="A209" t="s">
        <v>169</v>
      </c>
      <c r="B209" t="str">
        <f t="shared" si="93"/>
        <v/>
      </c>
      <c r="C209" t="str">
        <f t="shared" si="94"/>
        <v/>
      </c>
      <c r="D209" t="s">
        <v>327</v>
      </c>
      <c r="E209" t="str">
        <f t="shared" si="95"/>
        <v/>
      </c>
      <c r="F209" t="str">
        <f t="shared" si="96"/>
        <v/>
      </c>
      <c r="G209" t="s">
        <v>169</v>
      </c>
      <c r="H209" t="str">
        <f t="shared" si="97"/>
        <v/>
      </c>
      <c r="I209" t="str">
        <f t="shared" si="98"/>
        <v/>
      </c>
      <c r="J209" t="s">
        <v>169</v>
      </c>
      <c r="K209" t="str">
        <f t="shared" si="99"/>
        <v/>
      </c>
      <c r="L209" t="str">
        <f t="shared" si="100"/>
        <v/>
      </c>
      <c r="M209" t="s">
        <v>169</v>
      </c>
      <c r="N209" t="str">
        <f t="shared" si="101"/>
        <v/>
      </c>
      <c r="O209" t="str">
        <f t="shared" si="102"/>
        <v/>
      </c>
      <c r="P209" t="s">
        <v>169</v>
      </c>
      <c r="Q209" t="str">
        <f t="shared" si="103"/>
        <v/>
      </c>
      <c r="R209" t="str">
        <f t="shared" si="104"/>
        <v/>
      </c>
      <c r="S209" t="s">
        <v>717</v>
      </c>
      <c r="T209" t="str">
        <f t="shared" si="105"/>
        <v/>
      </c>
      <c r="U209" t="str">
        <f t="shared" si="106"/>
        <v/>
      </c>
      <c r="V209" t="s">
        <v>717</v>
      </c>
      <c r="W209" t="str">
        <f t="shared" si="107"/>
        <v/>
      </c>
      <c r="X209" t="str">
        <f t="shared" si="108"/>
        <v/>
      </c>
      <c r="Y209" t="s">
        <v>169</v>
      </c>
      <c r="Z209" t="str">
        <f t="shared" si="109"/>
        <v/>
      </c>
      <c r="AA209" t="str">
        <f t="shared" si="110"/>
        <v/>
      </c>
      <c r="AB209" t="s">
        <v>169</v>
      </c>
      <c r="AC209" t="str">
        <f t="shared" si="111"/>
        <v/>
      </c>
      <c r="AD209" t="str">
        <f t="shared" si="112"/>
        <v/>
      </c>
      <c r="AF209" t="s">
        <v>169</v>
      </c>
      <c r="AG209" t="str">
        <f t="shared" si="113"/>
        <v/>
      </c>
      <c r="AH209" t="str">
        <f t="shared" si="114"/>
        <v/>
      </c>
      <c r="AI209" t="s">
        <v>169</v>
      </c>
      <c r="AK209" t="str">
        <f t="shared" si="115"/>
        <v/>
      </c>
      <c r="AL209" t="str">
        <f t="shared" si="116"/>
        <v/>
      </c>
      <c r="AM209" t="s">
        <v>169</v>
      </c>
      <c r="AN209" t="s">
        <v>0</v>
      </c>
      <c r="AO209" t="str">
        <f t="shared" si="117"/>
        <v/>
      </c>
      <c r="AP209" t="s">
        <v>169</v>
      </c>
      <c r="AQ209" t="str">
        <f t="shared" si="118"/>
        <v/>
      </c>
      <c r="AR209" t="str">
        <f t="shared" si="119"/>
        <v/>
      </c>
      <c r="AS209" t="s">
        <v>169</v>
      </c>
      <c r="AT209" t="str">
        <f t="shared" si="120"/>
        <v/>
      </c>
      <c r="AU209" t="str">
        <f t="shared" si="121"/>
        <v/>
      </c>
      <c r="AV209" t="s">
        <v>1252</v>
      </c>
      <c r="AW209" t="str">
        <f t="shared" si="122"/>
        <v/>
      </c>
      <c r="AX209" t="str">
        <f t="shared" si="123"/>
        <v/>
      </c>
    </row>
    <row r="210" spans="1:50" x14ac:dyDescent="0.45">
      <c r="A210" t="s">
        <v>170</v>
      </c>
      <c r="B210" t="str">
        <f t="shared" si="93"/>
        <v xml:space="preserve"> Estimated total participants - Revenue Assurance </v>
      </c>
      <c r="C210" t="str">
        <f t="shared" si="94"/>
        <v xml:space="preserve"> 75 </v>
      </c>
      <c r="D210" t="s">
        <v>328</v>
      </c>
      <c r="E210" t="str">
        <f t="shared" si="95"/>
        <v xml:space="preserve"> Estimated total participants - Revenue Assurance </v>
      </c>
      <c r="F210" t="str">
        <f t="shared" si="96"/>
        <v xml:space="preserve"> 65 </v>
      </c>
      <c r="G210" t="s">
        <v>594</v>
      </c>
      <c r="H210" t="str">
        <f t="shared" si="97"/>
        <v xml:space="preserve"> Estimated total participants - Revenue Assurance </v>
      </c>
      <c r="I210" t="str">
        <f t="shared" si="98"/>
        <v xml:space="preserve"> 55 </v>
      </c>
      <c r="J210" t="s">
        <v>408</v>
      </c>
      <c r="K210" t="str">
        <f t="shared" si="99"/>
        <v xml:space="preserve"> Estimated total participants - Revenue Assurance </v>
      </c>
      <c r="L210" t="str">
        <f t="shared" si="100"/>
        <v xml:space="preserve"> 80 </v>
      </c>
      <c r="M210" t="s">
        <v>532</v>
      </c>
      <c r="N210" t="str">
        <f t="shared" si="101"/>
        <v xml:space="preserve"> Estimated total participants - Revenue Assurance </v>
      </c>
      <c r="O210" t="str">
        <f t="shared" si="102"/>
        <v xml:space="preserve"> 82 </v>
      </c>
      <c r="P210" t="s">
        <v>328</v>
      </c>
      <c r="Q210" t="str">
        <f t="shared" si="103"/>
        <v xml:space="preserve"> Estimated total participants - Revenue Assurance </v>
      </c>
      <c r="R210" t="str">
        <f t="shared" si="104"/>
        <v xml:space="preserve"> 65 </v>
      </c>
      <c r="S210" t="s">
        <v>718</v>
      </c>
      <c r="T210" t="str">
        <f t="shared" si="105"/>
        <v xml:space="preserve"> Estimated total participants - Revenue Assurance </v>
      </c>
      <c r="U210" t="str">
        <f t="shared" si="106"/>
        <v xml:space="preserve"> 70 </v>
      </c>
      <c r="V210" t="s">
        <v>772</v>
      </c>
      <c r="W210" t="str">
        <f t="shared" si="107"/>
        <v xml:space="preserve"> Estimated total participants - Revenue Assurance </v>
      </c>
      <c r="X210" t="str">
        <f t="shared" si="108"/>
        <v xml:space="preserve"> 120 </v>
      </c>
      <c r="Y210" t="s">
        <v>803</v>
      </c>
      <c r="Z210" t="str">
        <f t="shared" si="109"/>
        <v xml:space="preserve"> Estimated total participants - Revenue Assurance </v>
      </c>
      <c r="AA210" t="str">
        <f t="shared" si="110"/>
        <v xml:space="preserve"> 110 </v>
      </c>
      <c r="AB210" t="s">
        <v>170</v>
      </c>
      <c r="AC210" t="str">
        <f t="shared" si="111"/>
        <v xml:space="preserve"> Estimated total participants - Revenue Assurance </v>
      </c>
      <c r="AD210" t="str">
        <f t="shared" si="112"/>
        <v xml:space="preserve"> 75 </v>
      </c>
      <c r="AF210" t="s">
        <v>915</v>
      </c>
      <c r="AG210" t="str">
        <f t="shared" si="113"/>
        <v xml:space="preserve"> Estimated total participants - Revenue Assurance </v>
      </c>
      <c r="AH210" t="str">
        <f t="shared" si="114"/>
        <v xml:space="preserve"> 88 </v>
      </c>
      <c r="AI210" t="s">
        <v>943</v>
      </c>
      <c r="AK210" t="str">
        <f t="shared" si="115"/>
        <v xml:space="preserve"> Estimated total participants - Revenue Assurance </v>
      </c>
      <c r="AL210" t="str">
        <f t="shared" si="116"/>
        <v xml:space="preserve"> 85 </v>
      </c>
      <c r="AM210" t="s">
        <v>943</v>
      </c>
      <c r="AN210" t="s">
        <v>0</v>
      </c>
      <c r="AO210" t="str">
        <f t="shared" si="117"/>
        <v xml:space="preserve"> 85 </v>
      </c>
      <c r="AP210" t="s">
        <v>1034</v>
      </c>
      <c r="AQ210" t="str">
        <f t="shared" si="118"/>
        <v xml:space="preserve"> Estimated total participants - Revenue Assurance </v>
      </c>
      <c r="AR210" t="str">
        <f t="shared" si="119"/>
        <v xml:space="preserve"> 210 </v>
      </c>
      <c r="AS210" t="s">
        <v>1076</v>
      </c>
      <c r="AT210" t="str">
        <f t="shared" si="120"/>
        <v xml:space="preserve"> Estimated total participants - Revenue Assurance </v>
      </c>
      <c r="AU210" t="str">
        <f t="shared" si="121"/>
        <v xml:space="preserve"> 114 </v>
      </c>
      <c r="AV210" t="s">
        <v>1253</v>
      </c>
      <c r="AW210" t="str">
        <f t="shared" si="122"/>
        <v>Estimated total participants - Revenue Assurance</v>
      </c>
      <c r="AX210" t="str">
        <f t="shared" si="123"/>
        <v xml:space="preserve"> 1250 </v>
      </c>
    </row>
    <row r="211" spans="1:50" x14ac:dyDescent="0.45">
      <c r="A211" t="s">
        <v>171</v>
      </c>
      <c r="B211" t="str">
        <f t="shared" si="93"/>
        <v xml:space="preserve"> Estimated total participants - Fraud Management </v>
      </c>
      <c r="C211" t="str">
        <f t="shared" si="94"/>
        <v xml:space="preserve"> 52 </v>
      </c>
      <c r="D211" t="s">
        <v>329</v>
      </c>
      <c r="E211" t="str">
        <f t="shared" si="95"/>
        <v xml:space="preserve"> Estimated total participants - Fraud Management </v>
      </c>
      <c r="F211" t="str">
        <f t="shared" si="96"/>
        <v xml:space="preserve"> 42 </v>
      </c>
      <c r="G211" t="s">
        <v>595</v>
      </c>
      <c r="H211" t="str">
        <f t="shared" si="97"/>
        <v xml:space="preserve"> Estimated total participants - Fraud Management </v>
      </c>
      <c r="I211" t="str">
        <f t="shared" si="98"/>
        <v xml:space="preserve"> 38 </v>
      </c>
      <c r="J211" t="s">
        <v>409</v>
      </c>
      <c r="K211" t="str">
        <f t="shared" si="99"/>
        <v xml:space="preserve"> Estimated total participants - Fraud Management </v>
      </c>
      <c r="L211" t="str">
        <f t="shared" si="100"/>
        <v xml:space="preserve"> 45 </v>
      </c>
      <c r="M211" t="s">
        <v>533</v>
      </c>
      <c r="N211" t="str">
        <f t="shared" si="101"/>
        <v xml:space="preserve"> Estimated total participants - Fraud Management </v>
      </c>
      <c r="O211" t="str">
        <f t="shared" si="102"/>
        <v xml:space="preserve"> 49 </v>
      </c>
      <c r="P211" t="s">
        <v>653</v>
      </c>
      <c r="Q211" t="str">
        <f t="shared" si="103"/>
        <v xml:space="preserve"> Estimated total participants - Fraud Management </v>
      </c>
      <c r="R211" t="str">
        <f t="shared" si="104"/>
        <v xml:space="preserve"> 40 </v>
      </c>
      <c r="S211" t="s">
        <v>719</v>
      </c>
      <c r="T211" t="str">
        <f t="shared" si="105"/>
        <v xml:space="preserve"> Estimated total participants - Fraud Management </v>
      </c>
      <c r="U211" t="str">
        <f t="shared" si="106"/>
        <v xml:space="preserve"> 35 </v>
      </c>
      <c r="V211" t="s">
        <v>773</v>
      </c>
      <c r="W211" t="str">
        <f t="shared" si="107"/>
        <v xml:space="preserve"> Estimated total participants - Fraud Management </v>
      </c>
      <c r="X211" t="str">
        <f t="shared" si="108"/>
        <v xml:space="preserve"> 70 </v>
      </c>
      <c r="Y211" t="s">
        <v>804</v>
      </c>
      <c r="Z211" t="str">
        <f t="shared" si="109"/>
        <v xml:space="preserve"> Estimated total participants - Fraud Management </v>
      </c>
      <c r="AA211" t="str">
        <f t="shared" si="110"/>
        <v xml:space="preserve"> 60 </v>
      </c>
      <c r="AB211" t="s">
        <v>409</v>
      </c>
      <c r="AC211" t="str">
        <f t="shared" si="111"/>
        <v xml:space="preserve"> Estimated total participants - Fraud Management </v>
      </c>
      <c r="AD211" t="str">
        <f t="shared" si="112"/>
        <v xml:space="preserve"> 45 </v>
      </c>
      <c r="AF211" t="s">
        <v>916</v>
      </c>
      <c r="AG211" t="str">
        <f t="shared" si="113"/>
        <v xml:space="preserve"> Estimated total participants - Fraud Management </v>
      </c>
      <c r="AH211" t="str">
        <f t="shared" si="114"/>
        <v xml:space="preserve"> 56 </v>
      </c>
      <c r="AI211" t="s">
        <v>804</v>
      </c>
      <c r="AK211" t="str">
        <f t="shared" si="115"/>
        <v xml:space="preserve"> Estimated total participants - Fraud Management </v>
      </c>
      <c r="AL211" t="str">
        <f t="shared" si="116"/>
        <v xml:space="preserve"> 60 </v>
      </c>
      <c r="AM211" t="s">
        <v>804</v>
      </c>
      <c r="AN211" t="s">
        <v>0</v>
      </c>
      <c r="AO211" t="str">
        <f t="shared" si="117"/>
        <v xml:space="preserve"> 60 </v>
      </c>
      <c r="AP211" t="s">
        <v>1035</v>
      </c>
      <c r="AQ211" t="str">
        <f t="shared" si="118"/>
        <v xml:space="preserve"> Estimated total participants - Fraud Management </v>
      </c>
      <c r="AR211" t="str">
        <f t="shared" si="119"/>
        <v xml:space="preserve"> 115 </v>
      </c>
      <c r="AS211" t="s">
        <v>804</v>
      </c>
      <c r="AT211" t="str">
        <f t="shared" si="120"/>
        <v xml:space="preserve"> Estimated total participants - Fraud Management </v>
      </c>
      <c r="AU211" t="str">
        <f t="shared" si="121"/>
        <v xml:space="preserve"> 60 </v>
      </c>
      <c r="AV211" t="s">
        <v>1254</v>
      </c>
      <c r="AW211" t="str">
        <f t="shared" si="122"/>
        <v>Estimated total participants - Fraud Management</v>
      </c>
      <c r="AX211" t="str">
        <f t="shared" si="123"/>
        <v xml:space="preserve"> 875 </v>
      </c>
    </row>
    <row r="212" spans="1:50" x14ac:dyDescent="0.45">
      <c r="A212" t="s">
        <v>172</v>
      </c>
      <c r="B212" t="str">
        <f t="shared" si="93"/>
        <v xml:space="preserve"> Estimated total participants - Other </v>
      </c>
      <c r="C212" t="str">
        <f t="shared" si="94"/>
        <v xml:space="preserve"> 23 </v>
      </c>
      <c r="D212" t="s">
        <v>330</v>
      </c>
      <c r="E212" t="str">
        <f t="shared" si="95"/>
        <v xml:space="preserve"> Estimated total participants - Other </v>
      </c>
      <c r="F212" t="str">
        <f t="shared" si="96"/>
        <v xml:space="preserve"> 18 </v>
      </c>
      <c r="G212" t="s">
        <v>596</v>
      </c>
      <c r="H212" t="str">
        <f t="shared" si="97"/>
        <v xml:space="preserve"> Estimated total participants - Other </v>
      </c>
      <c r="I212" t="str">
        <f t="shared" si="98"/>
        <v xml:space="preserve"> 17 </v>
      </c>
      <c r="J212" t="s">
        <v>410</v>
      </c>
      <c r="K212" t="str">
        <f t="shared" si="99"/>
        <v xml:space="preserve"> Estimated total participants - Other </v>
      </c>
      <c r="L212" t="str">
        <f t="shared" si="100"/>
        <v xml:space="preserve"> 30 </v>
      </c>
      <c r="M212" t="s">
        <v>534</v>
      </c>
      <c r="N212" t="str">
        <f t="shared" si="101"/>
        <v xml:space="preserve"> Estimated total participants - Other </v>
      </c>
      <c r="O212" t="str">
        <f t="shared" si="102"/>
        <v xml:space="preserve"> 27 </v>
      </c>
      <c r="P212" t="s">
        <v>654</v>
      </c>
      <c r="Q212" t="str">
        <f t="shared" si="103"/>
        <v xml:space="preserve"> Estimated total participants - Other </v>
      </c>
      <c r="R212" t="str">
        <f t="shared" si="104"/>
        <v xml:space="preserve"> 20 </v>
      </c>
      <c r="S212" t="s">
        <v>720</v>
      </c>
      <c r="T212" t="str">
        <f t="shared" si="105"/>
        <v xml:space="preserve"> Estimated total participants - Other </v>
      </c>
      <c r="U212" t="str">
        <f t="shared" si="106"/>
        <v xml:space="preserve"> 15 </v>
      </c>
      <c r="V212" t="s">
        <v>774</v>
      </c>
      <c r="W212" t="str">
        <f t="shared" si="107"/>
        <v xml:space="preserve"> Estimated total participants - Other </v>
      </c>
      <c r="X212" t="str">
        <f t="shared" si="108"/>
        <v xml:space="preserve"> 40 </v>
      </c>
      <c r="Y212" t="s">
        <v>410</v>
      </c>
      <c r="Z212" t="str">
        <f t="shared" si="109"/>
        <v xml:space="preserve"> Estimated total participants - Other </v>
      </c>
      <c r="AA212" t="str">
        <f t="shared" si="110"/>
        <v xml:space="preserve"> 30 </v>
      </c>
      <c r="AB212" t="s">
        <v>837</v>
      </c>
      <c r="AC212" t="str">
        <f t="shared" si="111"/>
        <v xml:space="preserve"> Estimated total participants - Other </v>
      </c>
      <c r="AD212" t="str">
        <f t="shared" si="112"/>
        <v xml:space="preserve"> 25 </v>
      </c>
      <c r="AF212" t="s">
        <v>917</v>
      </c>
      <c r="AG212" t="str">
        <f t="shared" si="113"/>
        <v xml:space="preserve"> Estimated total participants - Other </v>
      </c>
      <c r="AH212" t="str">
        <f t="shared" si="114"/>
        <v xml:space="preserve"> 24 </v>
      </c>
      <c r="AI212" t="s">
        <v>837</v>
      </c>
      <c r="AK212" t="str">
        <f t="shared" si="115"/>
        <v xml:space="preserve"> Estimated total participants - Other </v>
      </c>
      <c r="AL212" t="str">
        <f t="shared" si="116"/>
        <v xml:space="preserve"> 25 </v>
      </c>
      <c r="AM212" t="s">
        <v>837</v>
      </c>
      <c r="AN212" t="s">
        <v>0</v>
      </c>
      <c r="AO212" t="str">
        <f t="shared" si="117"/>
        <v xml:space="preserve"> 25 </v>
      </c>
      <c r="AP212" t="s">
        <v>1036</v>
      </c>
      <c r="AQ212" t="str">
        <f t="shared" si="118"/>
        <v xml:space="preserve"> Estimated total participants - Other </v>
      </c>
      <c r="AR212" t="str">
        <f t="shared" si="119"/>
        <v xml:space="preserve"> 55 </v>
      </c>
      <c r="AS212" t="s">
        <v>1077</v>
      </c>
      <c r="AT212" t="str">
        <f t="shared" si="120"/>
        <v xml:space="preserve"> Estimated total participants - Other </v>
      </c>
      <c r="AU212" t="str">
        <f t="shared" si="121"/>
        <v xml:space="preserve"> 26 </v>
      </c>
      <c r="AV212" t="s">
        <v>1255</v>
      </c>
      <c r="AW212" t="str">
        <f t="shared" si="122"/>
        <v>Estimated total participants - Other</v>
      </c>
      <c r="AX212" t="str">
        <f t="shared" si="123"/>
        <v xml:space="preserve"> 375 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F355-47FB-4E0E-B978-E3433EA2B07B}">
  <dimension ref="A1:S205"/>
  <sheetViews>
    <sheetView zoomScale="130" zoomScaleNormal="130" workbookViewId="0">
      <selection activeCell="Y15" sqref="Y15"/>
    </sheetView>
  </sheetViews>
  <sheetFormatPr defaultRowHeight="14.25" x14ac:dyDescent="0.45"/>
  <cols>
    <col min="1" max="1" width="83.6640625" customWidth="1"/>
    <col min="2" max="2" width="25.9296875" customWidth="1"/>
    <col min="3" max="3" width="20.53125" customWidth="1"/>
    <col min="5" max="5" width="10.06640625" customWidth="1"/>
    <col min="7" max="7" width="11.9296875" customWidth="1"/>
    <col min="9" max="9" width="16.265625" bestFit="1" customWidth="1"/>
  </cols>
  <sheetData>
    <row r="1" spans="1:19" x14ac:dyDescent="0.45">
      <c r="A1" t="s">
        <v>1332</v>
      </c>
      <c r="B1" t="s">
        <v>1333</v>
      </c>
    </row>
    <row r="2" spans="1:19" x14ac:dyDescent="0.45">
      <c r="C2" t="s">
        <v>173</v>
      </c>
      <c r="D2" t="s">
        <v>174</v>
      </c>
      <c r="E2" t="s">
        <v>597</v>
      </c>
      <c r="F2" t="s">
        <v>411</v>
      </c>
      <c r="G2" t="s">
        <v>412</v>
      </c>
      <c r="H2" t="s">
        <v>655</v>
      </c>
      <c r="I2" t="s">
        <v>656</v>
      </c>
      <c r="J2" t="s">
        <v>721</v>
      </c>
      <c r="K2" t="s">
        <v>775</v>
      </c>
      <c r="L2" t="s">
        <v>805</v>
      </c>
      <c r="M2" t="s">
        <v>838</v>
      </c>
      <c r="N2" t="s">
        <v>918</v>
      </c>
      <c r="O2" t="s">
        <v>919</v>
      </c>
      <c r="P2" t="s">
        <v>972</v>
      </c>
      <c r="Q2" t="s">
        <v>1037</v>
      </c>
      <c r="R2" t="s">
        <v>1078</v>
      </c>
      <c r="S2" t="s">
        <v>1334</v>
      </c>
    </row>
    <row r="3" spans="1:19" x14ac:dyDescent="0.45">
      <c r="A3" t="s">
        <v>2</v>
      </c>
      <c r="C3" t="s">
        <v>1256</v>
      </c>
      <c r="D3" t="s">
        <v>1256</v>
      </c>
      <c r="E3" t="s">
        <v>1256</v>
      </c>
      <c r="F3" t="s">
        <v>1256</v>
      </c>
      <c r="G3" t="s">
        <v>1256</v>
      </c>
      <c r="H3" t="s">
        <v>1256</v>
      </c>
      <c r="I3" t="s">
        <v>1256</v>
      </c>
      <c r="J3" t="s">
        <v>1256</v>
      </c>
      <c r="K3" t="s">
        <v>1256</v>
      </c>
      <c r="L3" t="s">
        <v>1256</v>
      </c>
      <c r="M3" t="s">
        <v>1256</v>
      </c>
      <c r="N3" t="s">
        <v>1256</v>
      </c>
      <c r="O3" t="s">
        <v>1256</v>
      </c>
      <c r="P3" t="s">
        <v>1256</v>
      </c>
      <c r="Q3" t="s">
        <v>1256</v>
      </c>
      <c r="R3" t="s">
        <v>1256</v>
      </c>
    </row>
    <row r="4" spans="1:19" x14ac:dyDescent="0.45">
      <c r="B4" t="s">
        <v>1257</v>
      </c>
      <c r="C4" s="6">
        <v>0.15</v>
      </c>
      <c r="D4" s="6">
        <v>0.12</v>
      </c>
      <c r="E4" s="6">
        <v>0.12</v>
      </c>
      <c r="F4" s="6">
        <v>0.2</v>
      </c>
      <c r="G4" s="6">
        <v>0.12</v>
      </c>
      <c r="H4" s="6">
        <v>0.08</v>
      </c>
      <c r="I4" s="6">
        <v>0.25</v>
      </c>
      <c r="J4" s="6">
        <v>0.18</v>
      </c>
      <c r="K4" s="6">
        <v>0.15</v>
      </c>
      <c r="L4" s="6">
        <v>0.12</v>
      </c>
      <c r="M4" s="6">
        <v>0.22</v>
      </c>
      <c r="N4" s="6">
        <v>0.12</v>
      </c>
      <c r="O4" s="6">
        <v>0.15</v>
      </c>
      <c r="P4" s="6">
        <v>0.12</v>
      </c>
      <c r="Q4" s="6">
        <v>0.22</v>
      </c>
      <c r="R4" s="6">
        <v>0.18</v>
      </c>
      <c r="S4" s="6">
        <f>AVERAGE(C4:R4)</f>
        <v>0.15625</v>
      </c>
    </row>
    <row r="5" spans="1:19" x14ac:dyDescent="0.45">
      <c r="B5" t="s">
        <v>1259</v>
      </c>
      <c r="C5" s="6">
        <v>0.12</v>
      </c>
      <c r="D5" s="6">
        <v>0.08</v>
      </c>
      <c r="E5" s="6">
        <v>0.1</v>
      </c>
      <c r="F5" s="6">
        <v>0.1</v>
      </c>
      <c r="G5" s="6">
        <v>0.11</v>
      </c>
      <c r="H5" s="6">
        <v>0.1</v>
      </c>
      <c r="I5" s="6">
        <v>0.22</v>
      </c>
      <c r="J5" s="6">
        <v>0.1</v>
      </c>
      <c r="K5" s="6">
        <v>0.08</v>
      </c>
      <c r="L5" s="6">
        <v>0.06</v>
      </c>
      <c r="M5" s="6">
        <v>0.08</v>
      </c>
      <c r="N5" s="6">
        <v>0.08</v>
      </c>
      <c r="O5" s="6">
        <v>0.1</v>
      </c>
      <c r="P5" s="6">
        <v>0.09</v>
      </c>
      <c r="Q5" s="6">
        <v>0.06</v>
      </c>
      <c r="R5" s="6">
        <v>0.05</v>
      </c>
      <c r="S5" s="6">
        <f t="shared" ref="S5:S67" si="0">AVERAGE(C5:R5)</f>
        <v>9.5625000000000029E-2</v>
      </c>
    </row>
    <row r="6" spans="1:19" x14ac:dyDescent="0.45">
      <c r="B6" t="s">
        <v>1260</v>
      </c>
      <c r="C6" s="6">
        <v>0.05</v>
      </c>
      <c r="D6" s="6">
        <v>0.04</v>
      </c>
      <c r="E6" s="6">
        <v>0.04</v>
      </c>
      <c r="F6" s="6">
        <v>0.05</v>
      </c>
      <c r="G6" s="6">
        <v>0.03</v>
      </c>
      <c r="H6" s="6">
        <v>0.03</v>
      </c>
      <c r="I6" s="6">
        <v>0.18</v>
      </c>
      <c r="J6" s="6">
        <v>0.05</v>
      </c>
      <c r="K6" s="6">
        <v>0.05</v>
      </c>
      <c r="L6" s="6">
        <v>0.02</v>
      </c>
      <c r="M6" s="6">
        <v>0.06</v>
      </c>
      <c r="N6" s="6">
        <v>0.03</v>
      </c>
      <c r="O6" s="6">
        <v>0.05</v>
      </c>
      <c r="P6" s="6">
        <v>0.04</v>
      </c>
      <c r="Q6" s="6">
        <v>0.03</v>
      </c>
      <c r="R6" s="6">
        <v>0.05</v>
      </c>
      <c r="S6" s="6">
        <f t="shared" si="0"/>
        <v>5.0000000000000017E-2</v>
      </c>
    </row>
    <row r="7" spans="1:19" x14ac:dyDescent="0.45">
      <c r="B7" t="s">
        <v>1262</v>
      </c>
      <c r="C7" s="6">
        <v>0.1</v>
      </c>
      <c r="D7" s="6">
        <v>0.1</v>
      </c>
      <c r="E7" s="6">
        <v>0.15</v>
      </c>
      <c r="F7" s="6">
        <v>0.08</v>
      </c>
      <c r="G7" s="6">
        <v>0.12</v>
      </c>
      <c r="H7" s="6">
        <v>0.18</v>
      </c>
      <c r="I7" s="6">
        <v>0.1</v>
      </c>
      <c r="J7" s="6">
        <v>0.08</v>
      </c>
      <c r="K7" s="6">
        <v>7.0000000000000007E-2</v>
      </c>
      <c r="L7" s="6">
        <v>0.04</v>
      </c>
      <c r="M7" s="6">
        <v>7.0000000000000007E-2</v>
      </c>
      <c r="N7" s="6">
        <v>0.1</v>
      </c>
      <c r="O7" s="6">
        <v>0.12</v>
      </c>
      <c r="P7" s="6">
        <v>0.09</v>
      </c>
      <c r="Q7" s="6">
        <v>0.08</v>
      </c>
      <c r="R7" s="6">
        <v>0.05</v>
      </c>
      <c r="S7" s="6">
        <f t="shared" si="0"/>
        <v>9.5625000000000016E-2</v>
      </c>
    </row>
    <row r="8" spans="1:19" x14ac:dyDescent="0.45">
      <c r="B8" t="s">
        <v>1261</v>
      </c>
      <c r="C8" s="6">
        <v>0.18</v>
      </c>
      <c r="D8" s="6">
        <v>0.14000000000000001</v>
      </c>
      <c r="E8" s="6">
        <v>0.18</v>
      </c>
      <c r="F8" s="6">
        <v>0.25</v>
      </c>
      <c r="G8" s="6">
        <v>0.23</v>
      </c>
      <c r="H8" s="6">
        <v>0.22</v>
      </c>
      <c r="I8" s="6">
        <v>0.08</v>
      </c>
      <c r="J8" s="6">
        <v>0.25</v>
      </c>
      <c r="K8" s="6">
        <v>0.2</v>
      </c>
      <c r="L8" s="6">
        <v>0.35</v>
      </c>
      <c r="M8" s="6">
        <v>0.24</v>
      </c>
      <c r="N8" s="6">
        <v>0.25</v>
      </c>
      <c r="O8" s="6">
        <v>0.18</v>
      </c>
      <c r="P8" s="6">
        <v>0.28000000000000003</v>
      </c>
      <c r="Q8" s="6">
        <v>0.24</v>
      </c>
      <c r="R8" s="6">
        <v>0.32</v>
      </c>
      <c r="S8" s="6">
        <f t="shared" si="0"/>
        <v>0.22437500000000002</v>
      </c>
    </row>
    <row r="9" spans="1:19" x14ac:dyDescent="0.45">
      <c r="B9" t="s">
        <v>1263</v>
      </c>
      <c r="C9" s="6">
        <v>0.1</v>
      </c>
      <c r="D9" s="6">
        <v>0.08</v>
      </c>
      <c r="E9" s="6">
        <v>0.12</v>
      </c>
      <c r="F9" s="6">
        <v>7.0000000000000007E-2</v>
      </c>
      <c r="G9" s="6">
        <v>0.08</v>
      </c>
      <c r="H9" s="6">
        <v>0.08</v>
      </c>
      <c r="I9" s="6">
        <v>7.0000000000000007E-2</v>
      </c>
      <c r="J9" s="6">
        <v>7.0000000000000007E-2</v>
      </c>
      <c r="K9" s="6">
        <v>0.1</v>
      </c>
      <c r="L9" s="6">
        <v>7.0000000000000007E-2</v>
      </c>
      <c r="M9" s="6">
        <v>0.11</v>
      </c>
      <c r="N9" s="6">
        <v>7.0000000000000007E-2</v>
      </c>
      <c r="O9" s="6">
        <v>0.08</v>
      </c>
      <c r="P9" s="6">
        <v>0.06</v>
      </c>
      <c r="Q9" s="6">
        <v>0.05</v>
      </c>
      <c r="R9" s="6">
        <v>7.0000000000000007E-2</v>
      </c>
      <c r="S9" s="6">
        <f t="shared" si="0"/>
        <v>8.0000000000000016E-2</v>
      </c>
    </row>
    <row r="10" spans="1:19" x14ac:dyDescent="0.45">
      <c r="B10" t="s">
        <v>1264</v>
      </c>
      <c r="C10" s="6">
        <v>0.12</v>
      </c>
      <c r="D10" s="6">
        <v>0.1</v>
      </c>
      <c r="E10" s="6">
        <v>0.12</v>
      </c>
      <c r="F10" s="6">
        <v>0.1</v>
      </c>
      <c r="G10" s="6">
        <v>0.12</v>
      </c>
      <c r="H10" s="6">
        <v>0.14000000000000001</v>
      </c>
      <c r="I10" s="6">
        <v>0.05</v>
      </c>
      <c r="J10" s="6">
        <v>7.0000000000000007E-2</v>
      </c>
      <c r="K10" s="6">
        <v>0.1</v>
      </c>
      <c r="L10" s="6">
        <v>0.12</v>
      </c>
      <c r="M10" s="6">
        <v>0.05</v>
      </c>
      <c r="N10" s="6">
        <v>0.15</v>
      </c>
      <c r="O10" s="6">
        <v>0.12</v>
      </c>
      <c r="P10" s="6">
        <v>0.1</v>
      </c>
      <c r="Q10" s="6">
        <v>0.04</v>
      </c>
      <c r="R10" s="6">
        <v>0.06</v>
      </c>
      <c r="S10" s="6">
        <f t="shared" si="0"/>
        <v>9.7500000000000003E-2</v>
      </c>
    </row>
    <row r="11" spans="1:19" x14ac:dyDescent="0.45">
      <c r="B11" t="s">
        <v>1258</v>
      </c>
      <c r="C11" s="6">
        <v>0.18</v>
      </c>
      <c r="D11" s="6">
        <v>0.34</v>
      </c>
      <c r="E11" s="6">
        <v>0.17</v>
      </c>
      <c r="F11" s="6">
        <v>0.15</v>
      </c>
      <c r="G11" s="6">
        <v>0.19</v>
      </c>
      <c r="H11" s="6">
        <v>0.17</v>
      </c>
      <c r="I11" s="6">
        <v>0.05</v>
      </c>
      <c r="J11" s="6">
        <v>0.2</v>
      </c>
      <c r="K11" s="6">
        <v>0.25</v>
      </c>
      <c r="L11" s="6">
        <v>0.22</v>
      </c>
      <c r="M11" s="6">
        <v>0.17</v>
      </c>
      <c r="N11" s="6">
        <v>0.2</v>
      </c>
      <c r="O11" s="6">
        <v>0.2</v>
      </c>
      <c r="P11" s="6">
        <v>0.22</v>
      </c>
      <c r="Q11" s="6">
        <v>0.28000000000000003</v>
      </c>
      <c r="R11" s="6">
        <v>0.22</v>
      </c>
      <c r="S11" s="6">
        <f t="shared" si="0"/>
        <v>0.20062500000000003</v>
      </c>
    </row>
    <row r="12" spans="1:19" x14ac:dyDescent="0.45">
      <c r="A12" t="s">
        <v>11</v>
      </c>
      <c r="B12" t="s">
        <v>1256</v>
      </c>
      <c r="C12" s="6"/>
      <c r="D12" s="6" t="s">
        <v>1256</v>
      </c>
      <c r="E12" s="6" t="s">
        <v>1256</v>
      </c>
      <c r="F12" s="6" t="s">
        <v>1256</v>
      </c>
      <c r="G12" s="6" t="s">
        <v>1256</v>
      </c>
      <c r="H12" s="6" t="s">
        <v>1256</v>
      </c>
      <c r="I12" s="6" t="s">
        <v>1256</v>
      </c>
      <c r="J12" s="6" t="s">
        <v>1256</v>
      </c>
      <c r="K12" s="6" t="s">
        <v>1256</v>
      </c>
      <c r="L12" s="6" t="s">
        <v>1256</v>
      </c>
      <c r="M12" s="6" t="s">
        <v>1256</v>
      </c>
      <c r="N12" s="6" t="s">
        <v>1256</v>
      </c>
      <c r="O12" s="6" t="s">
        <v>1256</v>
      </c>
      <c r="P12" s="6" t="s">
        <v>1256</v>
      </c>
      <c r="Q12" s="6" t="s">
        <v>1256</v>
      </c>
      <c r="R12" s="6" t="s">
        <v>1256</v>
      </c>
      <c r="S12" s="6" t="s">
        <v>1256</v>
      </c>
    </row>
    <row r="13" spans="1:19" x14ac:dyDescent="0.45">
      <c r="B13" t="s">
        <v>1265</v>
      </c>
      <c r="C13" s="6">
        <v>0.25</v>
      </c>
      <c r="D13" s="6">
        <v>0.14000000000000001</v>
      </c>
      <c r="E13" s="6">
        <v>0.15</v>
      </c>
      <c r="F13" s="6">
        <v>0.15</v>
      </c>
      <c r="G13" s="6">
        <v>0.14000000000000001</v>
      </c>
      <c r="H13" s="6">
        <v>0.12</v>
      </c>
      <c r="I13" s="6">
        <v>0.25</v>
      </c>
      <c r="J13" s="6">
        <v>0.15</v>
      </c>
      <c r="K13" s="6">
        <v>0.12</v>
      </c>
      <c r="L13" s="6">
        <v>0.06</v>
      </c>
      <c r="M13" s="6">
        <v>0.18</v>
      </c>
      <c r="N13" s="6">
        <v>0.12</v>
      </c>
      <c r="O13" s="6">
        <v>0.12</v>
      </c>
      <c r="P13" s="6">
        <v>0.14000000000000001</v>
      </c>
      <c r="Q13" s="6">
        <v>0.08</v>
      </c>
      <c r="R13" s="6">
        <v>0.15</v>
      </c>
      <c r="S13" s="6">
        <f t="shared" si="0"/>
        <v>0.14500000000000002</v>
      </c>
    </row>
    <row r="14" spans="1:19" x14ac:dyDescent="0.45">
      <c r="B14" t="s">
        <v>1267</v>
      </c>
      <c r="C14" s="6">
        <v>0.12</v>
      </c>
      <c r="D14" s="6">
        <v>0.05</v>
      </c>
      <c r="E14" s="6">
        <v>0.06</v>
      </c>
      <c r="F14" s="6">
        <v>0.1</v>
      </c>
      <c r="G14" s="6">
        <v>7.0000000000000007E-2</v>
      </c>
      <c r="H14" s="6">
        <v>0.04</v>
      </c>
      <c r="I14" s="6">
        <v>0.2</v>
      </c>
      <c r="J14" s="6">
        <v>0.05</v>
      </c>
      <c r="K14" s="6">
        <v>0.08</v>
      </c>
      <c r="L14" s="6">
        <v>0.03</v>
      </c>
      <c r="M14" s="6">
        <v>0.06</v>
      </c>
      <c r="N14" s="6">
        <v>0.08</v>
      </c>
      <c r="O14" s="6">
        <v>0.15</v>
      </c>
      <c r="P14" s="6">
        <v>0.08</v>
      </c>
      <c r="Q14" s="6">
        <v>0.05</v>
      </c>
      <c r="R14" s="6">
        <v>0.04</v>
      </c>
      <c r="S14" s="6">
        <f t="shared" si="0"/>
        <v>7.8750000000000001E-2</v>
      </c>
    </row>
    <row r="15" spans="1:19" x14ac:dyDescent="0.45">
      <c r="B15" t="s">
        <v>1269</v>
      </c>
      <c r="C15" s="6">
        <v>0.05</v>
      </c>
      <c r="D15" s="6">
        <v>0.03</v>
      </c>
      <c r="E15" s="6">
        <v>0.03</v>
      </c>
      <c r="F15" s="6">
        <v>0.05</v>
      </c>
      <c r="G15" s="6">
        <v>0.05</v>
      </c>
      <c r="H15" s="6">
        <v>0.03</v>
      </c>
      <c r="I15" s="6">
        <v>0.15</v>
      </c>
      <c r="J15" s="6">
        <v>0.05</v>
      </c>
      <c r="K15" s="6">
        <v>0.05</v>
      </c>
      <c r="L15" s="6">
        <v>0.02</v>
      </c>
      <c r="M15" s="6">
        <v>0.05</v>
      </c>
      <c r="N15" s="6">
        <v>0.04</v>
      </c>
      <c r="O15" s="6">
        <v>0.05</v>
      </c>
      <c r="P15" s="6">
        <v>0.06</v>
      </c>
      <c r="Q15" s="6">
        <v>0.06</v>
      </c>
      <c r="R15" s="6">
        <v>0.12</v>
      </c>
      <c r="S15" s="6">
        <f t="shared" si="0"/>
        <v>5.5625000000000015E-2</v>
      </c>
    </row>
    <row r="16" spans="1:19" x14ac:dyDescent="0.45">
      <c r="B16" t="s">
        <v>1271</v>
      </c>
      <c r="C16" s="6">
        <v>0.08</v>
      </c>
      <c r="D16" s="6">
        <v>7.0000000000000007E-2</v>
      </c>
      <c r="E16" s="6">
        <v>0.08</v>
      </c>
      <c r="F16" s="6">
        <v>0.1</v>
      </c>
      <c r="G16" s="6">
        <v>0.06</v>
      </c>
      <c r="H16" s="6">
        <v>0.05</v>
      </c>
      <c r="I16" s="6">
        <v>0.12</v>
      </c>
      <c r="J16" s="6">
        <v>0.05</v>
      </c>
      <c r="K16" s="6">
        <v>0.1</v>
      </c>
      <c r="L16" s="6">
        <v>0.04</v>
      </c>
      <c r="M16" s="6">
        <v>0.08</v>
      </c>
      <c r="N16" s="6">
        <v>0.02</v>
      </c>
      <c r="O16" s="6">
        <v>0.04</v>
      </c>
      <c r="P16" s="6">
        <v>0.06</v>
      </c>
      <c r="Q16" s="6">
        <v>0.03</v>
      </c>
      <c r="R16" s="6">
        <v>0.1</v>
      </c>
      <c r="S16" s="6">
        <f t="shared" si="0"/>
        <v>6.7500000000000018E-2</v>
      </c>
    </row>
    <row r="17" spans="1:19" x14ac:dyDescent="0.45">
      <c r="B17" t="s">
        <v>1268</v>
      </c>
      <c r="C17" s="6">
        <v>0.1</v>
      </c>
      <c r="D17" s="6">
        <v>0.28000000000000003</v>
      </c>
      <c r="E17" s="6">
        <v>0.12</v>
      </c>
      <c r="F17" s="6">
        <v>0.2</v>
      </c>
      <c r="G17" s="6">
        <v>0.28000000000000003</v>
      </c>
      <c r="H17" s="6">
        <v>0.1</v>
      </c>
      <c r="I17" s="6">
        <v>0.08</v>
      </c>
      <c r="J17" s="6">
        <v>0.1</v>
      </c>
      <c r="K17" s="6">
        <v>0.2</v>
      </c>
      <c r="L17" s="6">
        <v>0.42</v>
      </c>
      <c r="M17" s="6">
        <v>0.22</v>
      </c>
      <c r="N17" s="6">
        <v>0.15</v>
      </c>
      <c r="O17" s="6">
        <v>0.1</v>
      </c>
      <c r="P17" s="6">
        <v>0.18</v>
      </c>
      <c r="Q17" s="6">
        <v>0.22</v>
      </c>
      <c r="R17" s="6">
        <v>0.25</v>
      </c>
      <c r="S17" s="6">
        <f t="shared" si="0"/>
        <v>0.18750000000000003</v>
      </c>
    </row>
    <row r="18" spans="1:19" x14ac:dyDescent="0.45">
      <c r="B18" t="s">
        <v>1272</v>
      </c>
      <c r="C18" s="6">
        <v>0.05</v>
      </c>
      <c r="D18" s="6">
        <v>0.08</v>
      </c>
      <c r="E18" s="6">
        <v>7.0000000000000007E-2</v>
      </c>
      <c r="F18" s="6">
        <v>0.1</v>
      </c>
      <c r="G18" s="6">
        <v>0.08</v>
      </c>
      <c r="H18" s="6">
        <v>0.06</v>
      </c>
      <c r="I18" s="6">
        <v>7.0000000000000007E-2</v>
      </c>
      <c r="J18" s="6">
        <v>0.08</v>
      </c>
      <c r="K18" s="6">
        <v>0.08</v>
      </c>
      <c r="L18" s="6">
        <v>0.05</v>
      </c>
      <c r="M18" s="6">
        <v>0.09</v>
      </c>
      <c r="N18" s="6">
        <v>7.0000000000000007E-2</v>
      </c>
      <c r="O18" s="6">
        <v>0.08</v>
      </c>
      <c r="P18" s="6">
        <v>7.0000000000000007E-2</v>
      </c>
      <c r="Q18" s="6">
        <v>0.06</v>
      </c>
      <c r="R18" s="6">
        <v>0.05</v>
      </c>
      <c r="S18" s="6">
        <f t="shared" si="0"/>
        <v>7.1249999999999994E-2</v>
      </c>
    </row>
    <row r="19" spans="1:19" x14ac:dyDescent="0.45">
      <c r="B19" t="s">
        <v>1273</v>
      </c>
      <c r="C19" s="6">
        <v>0.03</v>
      </c>
      <c r="D19" s="6">
        <v>0.04</v>
      </c>
      <c r="E19" s="6">
        <v>0.04</v>
      </c>
      <c r="F19" s="6">
        <v>0.05</v>
      </c>
      <c r="G19" s="6">
        <v>0.05</v>
      </c>
      <c r="H19" s="6">
        <v>0.02</v>
      </c>
      <c r="I19" s="6">
        <v>0.06</v>
      </c>
      <c r="J19" s="6">
        <v>7.0000000000000007E-2</v>
      </c>
      <c r="K19" s="6">
        <v>7.0000000000000007E-2</v>
      </c>
      <c r="L19" s="6">
        <v>0.04</v>
      </c>
      <c r="M19" s="6">
        <v>7.0000000000000007E-2</v>
      </c>
      <c r="N19" s="6">
        <v>0.05</v>
      </c>
      <c r="O19" s="6">
        <v>0.06</v>
      </c>
      <c r="P19" s="6">
        <v>0.05</v>
      </c>
      <c r="Q19" s="6">
        <v>0.03</v>
      </c>
      <c r="R19" s="6">
        <v>7.0000000000000007E-2</v>
      </c>
      <c r="S19" s="6">
        <f t="shared" si="0"/>
        <v>5.0000000000000017E-2</v>
      </c>
    </row>
    <row r="20" spans="1:19" x14ac:dyDescent="0.45">
      <c r="B20" t="s">
        <v>1266</v>
      </c>
      <c r="C20" s="6">
        <v>0.2</v>
      </c>
      <c r="D20" s="6">
        <v>0.18</v>
      </c>
      <c r="E20" s="6">
        <v>0.3</v>
      </c>
      <c r="F20" s="6">
        <v>0.15</v>
      </c>
      <c r="G20" s="6">
        <v>0.17</v>
      </c>
      <c r="H20" s="6">
        <v>0.45</v>
      </c>
      <c r="I20" s="6">
        <v>0.04</v>
      </c>
      <c r="J20" s="6">
        <v>0.25</v>
      </c>
      <c r="K20" s="6">
        <v>0.25</v>
      </c>
      <c r="L20" s="6">
        <v>0.24</v>
      </c>
      <c r="M20" s="6">
        <v>0.19</v>
      </c>
      <c r="N20" s="6">
        <v>0.22</v>
      </c>
      <c r="O20" s="6">
        <v>0.25</v>
      </c>
      <c r="P20" s="6">
        <v>0.26</v>
      </c>
      <c r="Q20" s="6">
        <v>0.38</v>
      </c>
      <c r="R20" s="6">
        <v>0.2</v>
      </c>
      <c r="S20" s="6">
        <f t="shared" si="0"/>
        <v>0.23312500000000003</v>
      </c>
    </row>
    <row r="21" spans="1:19" x14ac:dyDescent="0.45">
      <c r="B21" t="s">
        <v>1270</v>
      </c>
      <c r="C21" s="6">
        <v>0.12</v>
      </c>
      <c r="D21" s="6">
        <v>0.13</v>
      </c>
      <c r="E21" s="6">
        <v>0.15</v>
      </c>
      <c r="F21" s="6">
        <v>0.1</v>
      </c>
      <c r="G21" s="6">
        <v>0.1</v>
      </c>
      <c r="H21" s="6">
        <v>0.13</v>
      </c>
      <c r="I21" s="6">
        <v>0.03</v>
      </c>
      <c r="J21" s="6">
        <v>0.2</v>
      </c>
      <c r="K21" s="6">
        <v>0.05</v>
      </c>
      <c r="L21" s="6">
        <v>0.1</v>
      </c>
      <c r="M21" s="6">
        <v>0.06</v>
      </c>
      <c r="N21" s="6">
        <v>0.25</v>
      </c>
      <c r="O21" s="6">
        <v>0.15</v>
      </c>
      <c r="P21" s="6">
        <v>0.1</v>
      </c>
      <c r="Q21" s="6">
        <v>0.09</v>
      </c>
      <c r="R21" s="6">
        <v>0.02</v>
      </c>
      <c r="S21" s="6">
        <f t="shared" si="0"/>
        <v>0.11125000000000002</v>
      </c>
    </row>
    <row r="22" spans="1:19" x14ac:dyDescent="0.45">
      <c r="A22" t="s">
        <v>21</v>
      </c>
      <c r="B22" t="s">
        <v>1256</v>
      </c>
      <c r="C22" s="6"/>
      <c r="D22" s="6" t="s">
        <v>1256</v>
      </c>
      <c r="E22" s="6" t="s">
        <v>1256</v>
      </c>
      <c r="F22" s="6" t="s">
        <v>1256</v>
      </c>
      <c r="G22" s="6" t="s">
        <v>1256</v>
      </c>
      <c r="H22" s="6" t="s">
        <v>1256</v>
      </c>
      <c r="I22" s="6" t="s">
        <v>1256</v>
      </c>
      <c r="J22" s="6" t="s">
        <v>1256</v>
      </c>
      <c r="K22" s="6" t="s">
        <v>1256</v>
      </c>
      <c r="L22" s="6" t="s">
        <v>1256</v>
      </c>
      <c r="M22" s="6" t="s">
        <v>1256</v>
      </c>
      <c r="N22" s="6" t="s">
        <v>1256</v>
      </c>
      <c r="O22" s="6" t="s">
        <v>1256</v>
      </c>
      <c r="P22" s="6" t="s">
        <v>1256</v>
      </c>
      <c r="Q22" s="6" t="s">
        <v>1256</v>
      </c>
      <c r="R22" s="6" t="s">
        <v>1256</v>
      </c>
      <c r="S22" s="6"/>
    </row>
    <row r="23" spans="1:19" x14ac:dyDescent="0.45">
      <c r="B23" t="s">
        <v>1274</v>
      </c>
      <c r="C23" s="6">
        <v>0.15</v>
      </c>
      <c r="D23" s="6">
        <v>0.12</v>
      </c>
      <c r="E23" s="6">
        <v>0.18</v>
      </c>
      <c r="F23" s="6">
        <v>0.15</v>
      </c>
      <c r="G23" s="6">
        <v>0.14000000000000001</v>
      </c>
      <c r="H23" s="6">
        <v>0.08</v>
      </c>
      <c r="I23" s="6">
        <v>0.28000000000000003</v>
      </c>
      <c r="J23" s="6">
        <v>0.2</v>
      </c>
      <c r="K23" s="6">
        <v>0.15</v>
      </c>
      <c r="L23" s="6">
        <v>0.08</v>
      </c>
      <c r="M23" s="6">
        <v>0.12</v>
      </c>
      <c r="N23" s="6">
        <v>0.14000000000000001</v>
      </c>
      <c r="O23" s="6">
        <v>0.15</v>
      </c>
      <c r="P23" s="6">
        <v>0.14000000000000001</v>
      </c>
      <c r="Q23" s="6">
        <v>0.14000000000000001</v>
      </c>
      <c r="R23" s="6">
        <v>0.12</v>
      </c>
      <c r="S23" s="6">
        <f t="shared" si="0"/>
        <v>0.14625000000000002</v>
      </c>
    </row>
    <row r="24" spans="1:19" x14ac:dyDescent="0.45">
      <c r="B24" t="s">
        <v>1275</v>
      </c>
      <c r="C24" s="6">
        <v>0.25</v>
      </c>
      <c r="D24" s="6">
        <v>0.18</v>
      </c>
      <c r="E24" s="6">
        <v>0.22</v>
      </c>
      <c r="F24" s="6">
        <v>0.2</v>
      </c>
      <c r="G24" s="6">
        <v>0.24</v>
      </c>
      <c r="H24" s="6">
        <v>0.18</v>
      </c>
      <c r="I24" s="6">
        <v>0.22</v>
      </c>
      <c r="J24" s="6">
        <v>0.25</v>
      </c>
      <c r="K24" s="6">
        <v>0.2</v>
      </c>
      <c r="L24" s="6">
        <v>0.15</v>
      </c>
      <c r="M24" s="6">
        <v>0.18</v>
      </c>
      <c r="N24" s="6">
        <v>0.18</v>
      </c>
      <c r="O24" s="6">
        <v>0.2</v>
      </c>
      <c r="P24" s="6">
        <v>0.22</v>
      </c>
      <c r="Q24" s="6">
        <v>0.2</v>
      </c>
      <c r="R24" s="6">
        <v>0.28000000000000003</v>
      </c>
      <c r="S24" s="6">
        <f t="shared" si="0"/>
        <v>0.20937500000000003</v>
      </c>
    </row>
    <row r="25" spans="1:19" x14ac:dyDescent="0.45">
      <c r="B25" t="s">
        <v>1276</v>
      </c>
      <c r="C25" s="6">
        <v>0.2</v>
      </c>
      <c r="D25" s="6">
        <v>0.16</v>
      </c>
      <c r="E25" s="6">
        <v>0.2</v>
      </c>
      <c r="F25" s="6">
        <v>0.2</v>
      </c>
      <c r="G25" s="6">
        <v>0.21</v>
      </c>
      <c r="H25" s="6">
        <v>0.22</v>
      </c>
      <c r="I25" s="6">
        <v>0.18</v>
      </c>
      <c r="J25" s="6">
        <v>0.2</v>
      </c>
      <c r="K25" s="6">
        <v>0.18</v>
      </c>
      <c r="L25" s="6">
        <v>0.18</v>
      </c>
      <c r="M25" s="6">
        <v>0.16</v>
      </c>
      <c r="N25" s="6">
        <v>0.15</v>
      </c>
      <c r="O25" s="6">
        <v>0.25</v>
      </c>
      <c r="P25" s="6">
        <v>0.18</v>
      </c>
      <c r="Q25" s="6">
        <v>0.14000000000000001</v>
      </c>
      <c r="R25" s="6">
        <v>0.25</v>
      </c>
      <c r="S25" s="6">
        <f t="shared" si="0"/>
        <v>0.19125</v>
      </c>
    </row>
    <row r="26" spans="1:19" x14ac:dyDescent="0.45">
      <c r="B26" t="s">
        <v>1277</v>
      </c>
      <c r="C26" s="6">
        <v>0.18</v>
      </c>
      <c r="D26" s="6">
        <v>0.15</v>
      </c>
      <c r="E26" s="6">
        <v>0.17</v>
      </c>
      <c r="F26" s="6">
        <v>0.15</v>
      </c>
      <c r="G26" s="6">
        <v>0.18</v>
      </c>
      <c r="H26" s="6">
        <v>0.2</v>
      </c>
      <c r="I26" s="6">
        <v>0.15</v>
      </c>
      <c r="J26" s="6">
        <v>0.15</v>
      </c>
      <c r="K26" s="6">
        <v>0.15</v>
      </c>
      <c r="L26" s="6">
        <v>0.2</v>
      </c>
      <c r="M26" s="6">
        <v>0.19</v>
      </c>
      <c r="N26" s="6">
        <v>0.18</v>
      </c>
      <c r="O26" s="6">
        <v>0.15</v>
      </c>
      <c r="P26" s="6">
        <v>0.16</v>
      </c>
      <c r="Q26" s="6">
        <v>0.14000000000000001</v>
      </c>
      <c r="R26" s="6">
        <v>0.18</v>
      </c>
      <c r="S26" s="6">
        <f t="shared" si="0"/>
        <v>0.16750000000000001</v>
      </c>
    </row>
    <row r="27" spans="1:19" x14ac:dyDescent="0.45">
      <c r="B27" t="s">
        <v>1278</v>
      </c>
      <c r="C27" s="6">
        <v>0.12</v>
      </c>
      <c r="D27" s="6">
        <v>0.18</v>
      </c>
      <c r="E27" s="6">
        <v>0.13</v>
      </c>
      <c r="F27" s="6">
        <v>0.15</v>
      </c>
      <c r="G27" s="6">
        <v>0.15</v>
      </c>
      <c r="H27" s="6">
        <v>0.17</v>
      </c>
      <c r="I27" s="6">
        <v>0.1</v>
      </c>
      <c r="J27" s="6">
        <v>0.1</v>
      </c>
      <c r="K27" s="6">
        <v>0.17</v>
      </c>
      <c r="L27" s="6">
        <v>0.22</v>
      </c>
      <c r="M27" s="6">
        <v>0.22</v>
      </c>
      <c r="N27" s="6">
        <v>0.2</v>
      </c>
      <c r="O27" s="6">
        <v>0.15</v>
      </c>
      <c r="P27" s="6">
        <v>0.18</v>
      </c>
      <c r="Q27" s="6">
        <v>0.16</v>
      </c>
      <c r="R27" s="6">
        <v>0.12</v>
      </c>
      <c r="S27" s="6">
        <f t="shared" si="0"/>
        <v>0.15750000000000003</v>
      </c>
    </row>
    <row r="28" spans="1:19" x14ac:dyDescent="0.45">
      <c r="B28" t="s">
        <v>1279</v>
      </c>
      <c r="C28" s="6">
        <v>0.1</v>
      </c>
      <c r="D28" s="6">
        <v>0.21</v>
      </c>
      <c r="E28" s="6">
        <v>0.1</v>
      </c>
      <c r="F28" s="6">
        <v>0.15</v>
      </c>
      <c r="G28" s="6">
        <v>0.08</v>
      </c>
      <c r="H28" s="6">
        <v>0.15</v>
      </c>
      <c r="I28" s="6">
        <v>7.0000000000000007E-2</v>
      </c>
      <c r="J28" s="6">
        <v>0.1</v>
      </c>
      <c r="K28" s="6">
        <v>0.15</v>
      </c>
      <c r="L28" s="6">
        <v>0.17</v>
      </c>
      <c r="M28" s="6">
        <v>0.13</v>
      </c>
      <c r="N28" s="6">
        <v>0.15</v>
      </c>
      <c r="O28" s="6">
        <v>0.1</v>
      </c>
      <c r="P28" s="6">
        <v>0.12</v>
      </c>
      <c r="Q28" s="6">
        <v>0.22</v>
      </c>
      <c r="R28" s="6">
        <v>0.05</v>
      </c>
      <c r="S28" s="6">
        <f t="shared" si="0"/>
        <v>0.12812500000000002</v>
      </c>
    </row>
    <row r="29" spans="1:19" x14ac:dyDescent="0.45">
      <c r="A29" t="s">
        <v>28</v>
      </c>
      <c r="B29" t="s">
        <v>1256</v>
      </c>
      <c r="C29" s="6"/>
      <c r="D29" s="6" t="s">
        <v>1256</v>
      </c>
      <c r="E29" s="6" t="s">
        <v>1256</v>
      </c>
      <c r="F29" s="6" t="s">
        <v>1256</v>
      </c>
      <c r="G29" s="6" t="s">
        <v>1256</v>
      </c>
      <c r="H29" s="6" t="s">
        <v>1256</v>
      </c>
      <c r="I29" s="6" t="s">
        <v>1256</v>
      </c>
      <c r="J29" s="6" t="s">
        <v>1256</v>
      </c>
      <c r="K29" s="6" t="s">
        <v>1256</v>
      </c>
      <c r="L29" s="6" t="s">
        <v>1256</v>
      </c>
      <c r="M29" s="6" t="s">
        <v>1256</v>
      </c>
      <c r="N29" s="6" t="s">
        <v>1256</v>
      </c>
      <c r="O29" s="6" t="s">
        <v>1256</v>
      </c>
      <c r="P29" s="6" t="s">
        <v>1256</v>
      </c>
      <c r="Q29" s="6" t="s">
        <v>1256</v>
      </c>
      <c r="R29" s="6" t="s">
        <v>1256</v>
      </c>
      <c r="S29" s="6"/>
    </row>
    <row r="30" spans="1:19" x14ac:dyDescent="0.45">
      <c r="B30" t="s">
        <v>1280</v>
      </c>
      <c r="C30" s="6">
        <v>0.1</v>
      </c>
      <c r="D30" s="6">
        <v>0.05</v>
      </c>
      <c r="E30" s="6">
        <v>0.08</v>
      </c>
      <c r="F30" s="6">
        <v>0.1</v>
      </c>
      <c r="G30" s="6">
        <v>0.06</v>
      </c>
      <c r="H30" s="6">
        <v>0.05</v>
      </c>
      <c r="I30" s="6">
        <v>0.25</v>
      </c>
      <c r="J30" s="6">
        <v>0.1</v>
      </c>
      <c r="K30" s="6">
        <v>0.12</v>
      </c>
      <c r="L30" s="6">
        <v>0.04</v>
      </c>
      <c r="M30" s="6">
        <v>0.08</v>
      </c>
      <c r="N30" s="6">
        <v>0.1</v>
      </c>
      <c r="O30" s="6">
        <v>0.1</v>
      </c>
      <c r="P30" s="6">
        <v>7.0000000000000007E-2</v>
      </c>
      <c r="Q30" s="6">
        <v>0.05</v>
      </c>
      <c r="R30" s="6">
        <v>0.05</v>
      </c>
      <c r="S30" s="6">
        <f t="shared" si="0"/>
        <v>8.7500000000000022E-2</v>
      </c>
    </row>
    <row r="31" spans="1:19" x14ac:dyDescent="0.45">
      <c r="B31" t="s">
        <v>1281</v>
      </c>
      <c r="C31" s="6">
        <v>0.18</v>
      </c>
      <c r="D31" s="6">
        <v>0.1</v>
      </c>
      <c r="E31" s="6">
        <v>0.18</v>
      </c>
      <c r="F31" s="6">
        <v>0.15</v>
      </c>
      <c r="G31" s="6">
        <v>0.13</v>
      </c>
      <c r="H31" s="6">
        <v>0.1</v>
      </c>
      <c r="I31" s="6">
        <v>0.23</v>
      </c>
      <c r="J31" s="6">
        <v>0.15</v>
      </c>
      <c r="K31" s="6">
        <v>0.18</v>
      </c>
      <c r="L31" s="6">
        <v>0.12</v>
      </c>
      <c r="M31" s="6">
        <v>0.14000000000000001</v>
      </c>
      <c r="N31" s="6">
        <v>0.15</v>
      </c>
      <c r="O31" s="6">
        <v>0.15</v>
      </c>
      <c r="P31" s="6">
        <v>0.15</v>
      </c>
      <c r="Q31" s="6">
        <v>0.1</v>
      </c>
      <c r="R31" s="6">
        <v>0.25</v>
      </c>
      <c r="S31" s="6">
        <f t="shared" si="0"/>
        <v>0.15375</v>
      </c>
    </row>
    <row r="32" spans="1:19" x14ac:dyDescent="0.45">
      <c r="B32" t="s">
        <v>1282</v>
      </c>
      <c r="C32" s="6">
        <v>0.22</v>
      </c>
      <c r="D32" s="6">
        <v>0.16</v>
      </c>
      <c r="E32" s="6">
        <v>0.22</v>
      </c>
      <c r="F32" s="6">
        <v>0.2</v>
      </c>
      <c r="G32" s="6">
        <v>0.21</v>
      </c>
      <c r="H32" s="6">
        <v>0.18</v>
      </c>
      <c r="I32" s="6">
        <v>0.2</v>
      </c>
      <c r="J32" s="6">
        <v>0.25</v>
      </c>
      <c r="K32" s="6">
        <v>0.2</v>
      </c>
      <c r="L32" s="6">
        <v>0.22</v>
      </c>
      <c r="M32" s="6">
        <v>0.18</v>
      </c>
      <c r="N32" s="6">
        <v>0.18</v>
      </c>
      <c r="O32" s="6">
        <v>0.2</v>
      </c>
      <c r="P32" s="6">
        <v>0.2</v>
      </c>
      <c r="Q32" s="6">
        <v>0.2</v>
      </c>
      <c r="R32" s="6">
        <v>0.35</v>
      </c>
      <c r="S32" s="6">
        <f t="shared" si="0"/>
        <v>0.21062500000000006</v>
      </c>
    </row>
    <row r="33" spans="1:19" x14ac:dyDescent="0.45">
      <c r="B33" t="s">
        <v>1283</v>
      </c>
      <c r="C33" s="6">
        <v>0.2</v>
      </c>
      <c r="D33" s="6">
        <v>0.24</v>
      </c>
      <c r="E33" s="6">
        <v>0.2</v>
      </c>
      <c r="F33" s="6">
        <v>0.2</v>
      </c>
      <c r="G33" s="6">
        <v>0.27</v>
      </c>
      <c r="H33" s="6">
        <v>0.25</v>
      </c>
      <c r="I33" s="6">
        <v>0.12</v>
      </c>
      <c r="J33" s="6">
        <v>0.2</v>
      </c>
      <c r="K33" s="6">
        <v>0.22</v>
      </c>
      <c r="L33" s="6">
        <v>0.25</v>
      </c>
      <c r="M33" s="6">
        <v>0.26</v>
      </c>
      <c r="N33" s="6">
        <v>0.22</v>
      </c>
      <c r="O33" s="6">
        <v>0.25</v>
      </c>
      <c r="P33" s="6">
        <v>0.23</v>
      </c>
      <c r="Q33" s="6">
        <v>0.28000000000000003</v>
      </c>
      <c r="R33" s="6">
        <v>0.25</v>
      </c>
      <c r="S33" s="6">
        <f t="shared" si="0"/>
        <v>0.22750000000000004</v>
      </c>
    </row>
    <row r="34" spans="1:19" x14ac:dyDescent="0.45">
      <c r="B34" t="s">
        <v>1284</v>
      </c>
      <c r="C34" s="6">
        <v>0.15</v>
      </c>
      <c r="D34" s="6">
        <v>0.17</v>
      </c>
      <c r="E34" s="6">
        <v>0.1</v>
      </c>
      <c r="F34" s="6">
        <v>0.15</v>
      </c>
      <c r="G34" s="6">
        <v>0.14000000000000001</v>
      </c>
      <c r="H34" s="6">
        <v>0.15</v>
      </c>
      <c r="I34" s="6">
        <v>0.1</v>
      </c>
      <c r="J34" s="6">
        <v>0.1</v>
      </c>
      <c r="K34" s="6">
        <v>0.1</v>
      </c>
      <c r="L34" s="6">
        <v>0.1</v>
      </c>
      <c r="M34" s="6">
        <v>0.18</v>
      </c>
      <c r="N34" s="6">
        <v>0.12</v>
      </c>
      <c r="O34" s="6">
        <v>0.15</v>
      </c>
      <c r="P34" s="6">
        <v>0.14000000000000001</v>
      </c>
      <c r="Q34" s="6">
        <v>0.11</v>
      </c>
      <c r="R34" s="6">
        <v>7.0000000000000007E-2</v>
      </c>
      <c r="S34" s="6">
        <f t="shared" si="0"/>
        <v>0.12687500000000002</v>
      </c>
    </row>
    <row r="35" spans="1:19" x14ac:dyDescent="0.45">
      <c r="B35" t="s">
        <v>1285</v>
      </c>
      <c r="C35" s="6">
        <v>0.1</v>
      </c>
      <c r="D35" s="6">
        <v>0.22</v>
      </c>
      <c r="E35" s="6">
        <v>0.08</v>
      </c>
      <c r="F35" s="6">
        <v>0.15</v>
      </c>
      <c r="G35" s="6">
        <v>0.12</v>
      </c>
      <c r="H35" s="6">
        <v>0.12</v>
      </c>
      <c r="I35" s="6">
        <v>7.0000000000000007E-2</v>
      </c>
      <c r="J35" s="6">
        <v>0.1</v>
      </c>
      <c r="K35" s="6">
        <v>0.08</v>
      </c>
      <c r="L35" s="6">
        <v>0.12</v>
      </c>
      <c r="M35" s="6">
        <v>0.14000000000000001</v>
      </c>
      <c r="N35" s="6">
        <v>0.15</v>
      </c>
      <c r="O35" s="6">
        <v>0.1</v>
      </c>
      <c r="P35" s="6">
        <v>0.13</v>
      </c>
      <c r="Q35" s="6">
        <v>0.24</v>
      </c>
      <c r="R35" s="6">
        <v>0.03</v>
      </c>
      <c r="S35" s="6">
        <f t="shared" si="0"/>
        <v>0.12187500000000001</v>
      </c>
    </row>
    <row r="36" spans="1:19" x14ac:dyDescent="0.45">
      <c r="B36" t="s">
        <v>1286</v>
      </c>
      <c r="C36" s="6">
        <v>0.05</v>
      </c>
      <c r="D36" s="6">
        <v>0.06</v>
      </c>
      <c r="E36" s="6">
        <v>0.14000000000000001</v>
      </c>
      <c r="F36" s="6">
        <v>0.05</v>
      </c>
      <c r="G36" s="6">
        <v>7.0000000000000007E-2</v>
      </c>
      <c r="H36" s="6">
        <v>0.15</v>
      </c>
      <c r="I36" s="6">
        <v>0.03</v>
      </c>
      <c r="J36" s="6">
        <v>0.1</v>
      </c>
      <c r="K36" s="6">
        <v>0.1</v>
      </c>
      <c r="L36" s="6">
        <v>0.15</v>
      </c>
      <c r="M36" s="6">
        <v>0.02</v>
      </c>
      <c r="N36" s="6">
        <v>0.08</v>
      </c>
      <c r="O36" s="6">
        <v>0.05</v>
      </c>
      <c r="P36" s="6">
        <v>0.08</v>
      </c>
      <c r="Q36" s="6">
        <v>0.02</v>
      </c>
      <c r="R36" s="6">
        <v>0</v>
      </c>
      <c r="S36" s="6">
        <f t="shared" si="0"/>
        <v>7.1875000000000008E-2</v>
      </c>
    </row>
    <row r="37" spans="1:19" x14ac:dyDescent="0.45">
      <c r="A37" t="s">
        <v>36</v>
      </c>
      <c r="B37" t="s">
        <v>1256</v>
      </c>
      <c r="C37" s="6"/>
      <c r="D37" s="6" t="s">
        <v>1256</v>
      </c>
      <c r="E37" s="6" t="s">
        <v>1256</v>
      </c>
      <c r="F37" s="6" t="s">
        <v>1256</v>
      </c>
      <c r="G37" s="6" t="s">
        <v>1256</v>
      </c>
      <c r="H37" s="6" t="s">
        <v>1256</v>
      </c>
      <c r="I37" s="6" t="s">
        <v>1256</v>
      </c>
      <c r="J37" s="6" t="s">
        <v>1256</v>
      </c>
      <c r="K37" s="6" t="s">
        <v>1256</v>
      </c>
      <c r="L37" s="6" t="s">
        <v>1256</v>
      </c>
      <c r="M37" s="6" t="s">
        <v>1256</v>
      </c>
      <c r="N37" s="6" t="s">
        <v>1256</v>
      </c>
      <c r="O37" s="6" t="s">
        <v>1256</v>
      </c>
      <c r="P37" s="6" t="s">
        <v>1256</v>
      </c>
      <c r="Q37" s="6" t="s">
        <v>1256</v>
      </c>
      <c r="R37" s="6" t="s">
        <v>1256</v>
      </c>
      <c r="S37" s="6"/>
    </row>
    <row r="38" spans="1:19" x14ac:dyDescent="0.45">
      <c r="B38" t="s">
        <v>1287</v>
      </c>
      <c r="C38" s="6">
        <v>0.5</v>
      </c>
      <c r="D38" s="6">
        <v>0.52</v>
      </c>
      <c r="E38" s="6">
        <v>0.5</v>
      </c>
      <c r="F38" s="6">
        <v>0.5</v>
      </c>
      <c r="G38" s="6">
        <v>0.52</v>
      </c>
      <c r="H38" s="6">
        <v>0.5</v>
      </c>
      <c r="I38" s="6">
        <v>0.55000000000000004</v>
      </c>
      <c r="J38" s="6">
        <v>0.55000000000000004</v>
      </c>
      <c r="K38" s="6">
        <v>0.55000000000000004</v>
      </c>
      <c r="L38" s="6">
        <v>0.55000000000000004</v>
      </c>
      <c r="M38" s="6">
        <v>0.52</v>
      </c>
      <c r="N38" s="6">
        <v>0.5</v>
      </c>
      <c r="O38" s="6">
        <v>0.5</v>
      </c>
      <c r="P38" s="6">
        <v>0.55000000000000004</v>
      </c>
      <c r="Q38" s="6">
        <v>0.56999999999999995</v>
      </c>
      <c r="R38" s="6">
        <v>0.5</v>
      </c>
      <c r="S38" s="6">
        <f t="shared" si="0"/>
        <v>0.52374999999999994</v>
      </c>
    </row>
    <row r="39" spans="1:19" x14ac:dyDescent="0.45">
      <c r="B39" t="s">
        <v>1288</v>
      </c>
      <c r="C39" s="6">
        <v>0.35</v>
      </c>
      <c r="D39" s="6">
        <v>0.33</v>
      </c>
      <c r="E39" s="6">
        <v>0.35</v>
      </c>
      <c r="F39" s="6">
        <v>0.3</v>
      </c>
      <c r="G39" s="6">
        <v>0.31</v>
      </c>
      <c r="H39" s="6">
        <v>0.32</v>
      </c>
      <c r="I39" s="6">
        <v>0.3</v>
      </c>
      <c r="J39" s="6">
        <v>0.3</v>
      </c>
      <c r="K39" s="6">
        <v>0.3</v>
      </c>
      <c r="L39" s="6">
        <v>0.3</v>
      </c>
      <c r="M39" s="6">
        <v>0.33</v>
      </c>
      <c r="N39" s="6">
        <v>0.35</v>
      </c>
      <c r="O39" s="6">
        <v>0.35</v>
      </c>
      <c r="P39" s="6">
        <v>0.3</v>
      </c>
      <c r="Q39" s="6">
        <v>0.3</v>
      </c>
      <c r="R39" s="6">
        <v>0.35</v>
      </c>
      <c r="S39" s="6">
        <f t="shared" si="0"/>
        <v>0.32124999999999992</v>
      </c>
    </row>
    <row r="40" spans="1:19" x14ac:dyDescent="0.45">
      <c r="B40" t="s">
        <v>1289</v>
      </c>
      <c r="C40" s="6">
        <v>0.15</v>
      </c>
      <c r="D40" s="6">
        <v>0.15</v>
      </c>
      <c r="E40" s="6">
        <v>0.15</v>
      </c>
      <c r="F40" s="6">
        <v>0.2</v>
      </c>
      <c r="G40" s="6">
        <v>0.17</v>
      </c>
      <c r="H40" s="6">
        <v>0.18</v>
      </c>
      <c r="I40" s="6">
        <v>0.15</v>
      </c>
      <c r="J40" s="6">
        <v>0.15</v>
      </c>
      <c r="K40" s="6">
        <v>0.15</v>
      </c>
      <c r="L40" s="6">
        <v>0.15</v>
      </c>
      <c r="M40" s="6">
        <v>0.15</v>
      </c>
      <c r="N40" s="6">
        <v>0.15</v>
      </c>
      <c r="O40" s="6">
        <v>0.15</v>
      </c>
      <c r="P40" s="6">
        <v>0.15</v>
      </c>
      <c r="Q40" s="6">
        <v>0.13</v>
      </c>
      <c r="R40" s="6">
        <v>0.15</v>
      </c>
      <c r="S40" s="6">
        <f t="shared" si="0"/>
        <v>0.15499999999999994</v>
      </c>
    </row>
    <row r="41" spans="1:19" x14ac:dyDescent="0.45">
      <c r="A41" t="s">
        <v>40</v>
      </c>
      <c r="B41" t="s">
        <v>1256</v>
      </c>
      <c r="C41" s="6"/>
      <c r="D41" s="6" t="s">
        <v>1256</v>
      </c>
      <c r="E41" s="6" t="s">
        <v>1256</v>
      </c>
      <c r="F41" s="6" t="s">
        <v>1256</v>
      </c>
      <c r="G41" s="6" t="s">
        <v>1256</v>
      </c>
      <c r="H41" s="6" t="s">
        <v>1256</v>
      </c>
      <c r="I41" s="6" t="s">
        <v>1256</v>
      </c>
      <c r="J41" s="6" t="s">
        <v>1256</v>
      </c>
      <c r="K41" s="6" t="s">
        <v>1256</v>
      </c>
      <c r="L41" s="6" t="s">
        <v>1256</v>
      </c>
      <c r="M41" s="6" t="s">
        <v>1256</v>
      </c>
      <c r="N41" s="6" t="s">
        <v>1256</v>
      </c>
      <c r="O41" s="6" t="s">
        <v>1256</v>
      </c>
      <c r="P41" s="6" t="s">
        <v>1256</v>
      </c>
      <c r="Q41" s="6" t="s">
        <v>1256</v>
      </c>
      <c r="R41" s="6" t="s">
        <v>1256</v>
      </c>
      <c r="S41" s="6"/>
    </row>
    <row r="42" spans="1:19" x14ac:dyDescent="0.45">
      <c r="A42" t="s">
        <v>41</v>
      </c>
      <c r="B42" t="s">
        <v>1256</v>
      </c>
      <c r="C42" s="6"/>
      <c r="D42" s="6" t="s">
        <v>1256</v>
      </c>
      <c r="E42" s="6" t="s">
        <v>1256</v>
      </c>
      <c r="F42" s="6" t="s">
        <v>1256</v>
      </c>
      <c r="G42" s="6" t="s">
        <v>1256</v>
      </c>
      <c r="H42" s="6" t="s">
        <v>1256</v>
      </c>
      <c r="I42" s="6" t="s">
        <v>1256</v>
      </c>
      <c r="J42" s="6" t="s">
        <v>1256</v>
      </c>
      <c r="K42" s="6" t="s">
        <v>1256</v>
      </c>
      <c r="L42" s="6" t="s">
        <v>1256</v>
      </c>
      <c r="M42" s="6" t="s">
        <v>1256</v>
      </c>
      <c r="N42" s="6" t="s">
        <v>1256</v>
      </c>
      <c r="O42" s="6" t="s">
        <v>1256</v>
      </c>
      <c r="P42" s="6" t="s">
        <v>1256</v>
      </c>
      <c r="Q42" s="6" t="s">
        <v>1256</v>
      </c>
      <c r="R42" s="6" t="s">
        <v>1256</v>
      </c>
      <c r="S42" s="6"/>
    </row>
    <row r="43" spans="1:19" x14ac:dyDescent="0.45">
      <c r="B43" t="s">
        <v>1290</v>
      </c>
      <c r="C43" s="6">
        <v>0.15</v>
      </c>
      <c r="D43" s="6">
        <v>0.1</v>
      </c>
      <c r="E43" s="6">
        <v>0.15</v>
      </c>
      <c r="F43" s="6">
        <v>0.1</v>
      </c>
      <c r="G43" s="6">
        <v>0.15</v>
      </c>
      <c r="H43" s="6">
        <v>0.15</v>
      </c>
      <c r="I43" s="6">
        <v>0.12</v>
      </c>
      <c r="J43" s="6">
        <v>0.15</v>
      </c>
      <c r="K43" s="6">
        <v>0.2</v>
      </c>
      <c r="L43" s="6">
        <v>0.18</v>
      </c>
      <c r="M43" s="6">
        <v>0.1</v>
      </c>
      <c r="N43" s="6">
        <v>0.15</v>
      </c>
      <c r="O43" s="6">
        <v>0.2</v>
      </c>
      <c r="P43" s="6">
        <v>0.16</v>
      </c>
      <c r="Q43" s="6">
        <v>0.1</v>
      </c>
      <c r="R43" s="6">
        <v>0.15</v>
      </c>
      <c r="S43" s="6">
        <f t="shared" si="0"/>
        <v>0.144375</v>
      </c>
    </row>
    <row r="44" spans="1:19" x14ac:dyDescent="0.45">
      <c r="B44" t="s">
        <v>1291</v>
      </c>
      <c r="C44" s="6">
        <v>0.35</v>
      </c>
      <c r="D44" s="6">
        <v>0.3</v>
      </c>
      <c r="E44" s="6">
        <v>0.32</v>
      </c>
      <c r="F44" s="6">
        <v>0.25</v>
      </c>
      <c r="G44" s="6">
        <v>0.33</v>
      </c>
      <c r="H44" s="6">
        <v>0.3</v>
      </c>
      <c r="I44" s="6">
        <v>0.28000000000000003</v>
      </c>
      <c r="J44" s="6">
        <v>0.25</v>
      </c>
      <c r="K44" s="6">
        <v>0.35</v>
      </c>
      <c r="L44" s="6">
        <v>0.32</v>
      </c>
      <c r="M44" s="6">
        <v>0.26</v>
      </c>
      <c r="N44" s="6">
        <v>0.4</v>
      </c>
      <c r="O44" s="6">
        <v>0.4</v>
      </c>
      <c r="P44" s="6">
        <v>0.34</v>
      </c>
      <c r="Q44" s="6">
        <v>0.3</v>
      </c>
      <c r="R44" s="6">
        <v>0.3</v>
      </c>
      <c r="S44" s="6">
        <f t="shared" si="0"/>
        <v>0.31562499999999993</v>
      </c>
    </row>
    <row r="45" spans="1:19" x14ac:dyDescent="0.45">
      <c r="B45" t="s">
        <v>1292</v>
      </c>
      <c r="C45" s="6">
        <v>0.3</v>
      </c>
      <c r="D45" s="6">
        <v>0.32</v>
      </c>
      <c r="E45" s="6">
        <v>0.3</v>
      </c>
      <c r="F45" s="6">
        <v>0.35</v>
      </c>
      <c r="G45" s="6">
        <v>0.31</v>
      </c>
      <c r="H45" s="6">
        <v>0.3</v>
      </c>
      <c r="I45" s="6">
        <v>0.34</v>
      </c>
      <c r="J45" s="6">
        <v>0.35</v>
      </c>
      <c r="K45" s="6">
        <v>0.3</v>
      </c>
      <c r="L45" s="6">
        <v>0.3</v>
      </c>
      <c r="M45" s="6">
        <v>0.36</v>
      </c>
      <c r="N45" s="6">
        <v>0.28000000000000003</v>
      </c>
      <c r="O45" s="6">
        <v>0.25</v>
      </c>
      <c r="P45" s="6">
        <v>0.3</v>
      </c>
      <c r="Q45" s="6">
        <v>0.35</v>
      </c>
      <c r="R45" s="6">
        <v>0.35</v>
      </c>
      <c r="S45" s="6">
        <f t="shared" si="0"/>
        <v>0.31624999999999992</v>
      </c>
    </row>
    <row r="46" spans="1:19" x14ac:dyDescent="0.45">
      <c r="B46" t="s">
        <v>1293</v>
      </c>
      <c r="C46" s="6">
        <v>0.12</v>
      </c>
      <c r="D46" s="6">
        <v>0.2</v>
      </c>
      <c r="E46" s="6">
        <v>0.15</v>
      </c>
      <c r="F46" s="6">
        <v>0.2</v>
      </c>
      <c r="G46" s="6">
        <v>0.15</v>
      </c>
      <c r="H46" s="6">
        <v>0.17</v>
      </c>
      <c r="I46" s="6">
        <v>0.18</v>
      </c>
      <c r="J46" s="6">
        <v>0.15</v>
      </c>
      <c r="K46" s="6">
        <v>0.1</v>
      </c>
      <c r="L46" s="6">
        <v>0.15</v>
      </c>
      <c r="M46" s="6">
        <v>0.2</v>
      </c>
      <c r="N46" s="6">
        <v>0.12</v>
      </c>
      <c r="O46" s="6">
        <v>0.1</v>
      </c>
      <c r="P46" s="6">
        <v>0.15</v>
      </c>
      <c r="Q46" s="6">
        <v>0.18</v>
      </c>
      <c r="R46" s="6">
        <v>0.15</v>
      </c>
      <c r="S46" s="6">
        <f t="shared" si="0"/>
        <v>0.15437499999999998</v>
      </c>
    </row>
    <row r="47" spans="1:19" x14ac:dyDescent="0.45">
      <c r="B47" t="s">
        <v>1294</v>
      </c>
      <c r="C47" s="6">
        <v>0.08</v>
      </c>
      <c r="D47" s="6">
        <v>0.08</v>
      </c>
      <c r="E47" s="6">
        <v>0.08</v>
      </c>
      <c r="F47" s="6">
        <v>0.1</v>
      </c>
      <c r="G47" s="6">
        <v>0.06</v>
      </c>
      <c r="H47" s="6">
        <v>0.08</v>
      </c>
      <c r="I47" s="6">
        <v>0.08</v>
      </c>
      <c r="J47" s="6">
        <v>0.1</v>
      </c>
      <c r="K47" s="6">
        <v>0.05</v>
      </c>
      <c r="L47" s="6">
        <v>0.05</v>
      </c>
      <c r="M47" s="6">
        <v>0.08</v>
      </c>
      <c r="N47" s="6">
        <v>0.05</v>
      </c>
      <c r="O47" s="6">
        <v>0.05</v>
      </c>
      <c r="P47" s="6">
        <v>0.05</v>
      </c>
      <c r="Q47" s="6">
        <v>7.0000000000000007E-2</v>
      </c>
      <c r="R47" s="6">
        <v>0.05</v>
      </c>
      <c r="S47" s="6">
        <f t="shared" si="0"/>
        <v>6.9375000000000006E-2</v>
      </c>
    </row>
    <row r="48" spans="1:19" x14ac:dyDescent="0.45">
      <c r="A48" t="s">
        <v>47</v>
      </c>
      <c r="B48" t="s">
        <v>1256</v>
      </c>
      <c r="C48" s="6"/>
      <c r="D48" s="6" t="s">
        <v>1256</v>
      </c>
      <c r="E48" s="6" t="s">
        <v>1256</v>
      </c>
      <c r="F48" s="6" t="s">
        <v>1256</v>
      </c>
      <c r="G48" s="6" t="s">
        <v>1256</v>
      </c>
      <c r="H48" s="6" t="s">
        <v>1256</v>
      </c>
      <c r="I48" s="6" t="s">
        <v>1256</v>
      </c>
      <c r="J48" s="6" t="s">
        <v>1256</v>
      </c>
      <c r="K48" s="6" t="s">
        <v>1256</v>
      </c>
      <c r="L48" s="6" t="s">
        <v>1256</v>
      </c>
      <c r="M48" s="6" t="s">
        <v>1256</v>
      </c>
      <c r="N48" s="6" t="s">
        <v>1256</v>
      </c>
      <c r="O48" s="6" t="s">
        <v>1256</v>
      </c>
      <c r="P48" s="6" t="s">
        <v>1256</v>
      </c>
      <c r="Q48" s="6" t="s">
        <v>1256</v>
      </c>
      <c r="R48" s="6" t="s">
        <v>1256</v>
      </c>
      <c r="S48" s="6"/>
    </row>
    <row r="49" spans="1:19" x14ac:dyDescent="0.45">
      <c r="B49" t="s">
        <v>1290</v>
      </c>
      <c r="C49" s="6">
        <v>0.05</v>
      </c>
      <c r="D49" s="6">
        <v>0.06</v>
      </c>
      <c r="E49" s="6">
        <v>0.08</v>
      </c>
      <c r="F49" s="6">
        <v>0.05</v>
      </c>
      <c r="G49" s="6">
        <v>0.1</v>
      </c>
      <c r="H49" s="6">
        <v>0.1</v>
      </c>
      <c r="I49" s="6">
        <v>0.08</v>
      </c>
      <c r="J49" s="6">
        <v>0.05</v>
      </c>
      <c r="K49" s="6">
        <v>0.1</v>
      </c>
      <c r="L49" s="6">
        <v>0.1</v>
      </c>
      <c r="M49" s="6">
        <v>0.06</v>
      </c>
      <c r="N49" s="6">
        <v>0.08</v>
      </c>
      <c r="O49" s="6">
        <v>0.1</v>
      </c>
      <c r="P49" s="6">
        <v>0.1</v>
      </c>
      <c r="Q49" s="6">
        <v>0.06</v>
      </c>
      <c r="R49" s="6">
        <v>0.12</v>
      </c>
      <c r="S49" s="6">
        <f t="shared" si="0"/>
        <v>8.0625000000000002E-2</v>
      </c>
    </row>
    <row r="50" spans="1:19" x14ac:dyDescent="0.45">
      <c r="B50" t="s">
        <v>1291</v>
      </c>
      <c r="C50" s="6">
        <v>0.2</v>
      </c>
      <c r="D50" s="6">
        <v>0.22</v>
      </c>
      <c r="E50" s="6">
        <v>0.22</v>
      </c>
      <c r="F50" s="6">
        <v>0.2</v>
      </c>
      <c r="G50" s="6">
        <v>0.24</v>
      </c>
      <c r="H50" s="6">
        <v>0.25</v>
      </c>
      <c r="I50" s="6">
        <v>0.24</v>
      </c>
      <c r="J50" s="6">
        <v>0.15</v>
      </c>
      <c r="K50" s="6">
        <v>0.25</v>
      </c>
      <c r="L50" s="6">
        <v>0.25</v>
      </c>
      <c r="M50" s="6">
        <v>0.22</v>
      </c>
      <c r="N50" s="6">
        <v>0.32</v>
      </c>
      <c r="O50" s="6">
        <v>0.3</v>
      </c>
      <c r="P50" s="6">
        <v>0.28000000000000003</v>
      </c>
      <c r="Q50" s="6">
        <v>0.22</v>
      </c>
      <c r="R50" s="6">
        <v>0.28000000000000003</v>
      </c>
      <c r="S50" s="6">
        <f t="shared" si="0"/>
        <v>0.24</v>
      </c>
    </row>
    <row r="51" spans="1:19" x14ac:dyDescent="0.45">
      <c r="B51" t="s">
        <v>1292</v>
      </c>
      <c r="C51" s="6">
        <v>0.4</v>
      </c>
      <c r="D51" s="6">
        <v>0.33</v>
      </c>
      <c r="E51" s="6">
        <v>0.33</v>
      </c>
      <c r="F51" s="6">
        <v>0.3</v>
      </c>
      <c r="G51" s="6">
        <v>0.34</v>
      </c>
      <c r="H51" s="6">
        <v>0.3</v>
      </c>
      <c r="I51" s="6">
        <v>0.33</v>
      </c>
      <c r="J51" s="6">
        <v>0.3</v>
      </c>
      <c r="K51" s="6">
        <v>0.35</v>
      </c>
      <c r="L51" s="6">
        <v>0.3</v>
      </c>
      <c r="M51" s="6">
        <v>0.34</v>
      </c>
      <c r="N51" s="6">
        <v>0.35</v>
      </c>
      <c r="O51" s="6">
        <v>0.35</v>
      </c>
      <c r="P51" s="6">
        <v>0.32</v>
      </c>
      <c r="Q51" s="6">
        <v>0.36</v>
      </c>
      <c r="R51" s="6">
        <v>0.34</v>
      </c>
      <c r="S51" s="6">
        <f t="shared" si="0"/>
        <v>0.33374999999999999</v>
      </c>
    </row>
    <row r="52" spans="1:19" x14ac:dyDescent="0.45">
      <c r="B52" t="s">
        <v>1293</v>
      </c>
      <c r="C52" s="6">
        <v>0.2</v>
      </c>
      <c r="D52" s="6">
        <v>0.26</v>
      </c>
      <c r="E52" s="6">
        <v>0.25</v>
      </c>
      <c r="F52" s="6">
        <v>0.3</v>
      </c>
      <c r="G52" s="6">
        <v>0.22</v>
      </c>
      <c r="H52" s="6">
        <v>0.22</v>
      </c>
      <c r="I52" s="6">
        <v>0.23</v>
      </c>
      <c r="J52" s="6">
        <v>0.3</v>
      </c>
      <c r="K52" s="6">
        <v>0.2</v>
      </c>
      <c r="L52" s="6">
        <v>0.25</v>
      </c>
      <c r="M52" s="6">
        <v>0.26</v>
      </c>
      <c r="N52" s="6">
        <v>0.18</v>
      </c>
      <c r="O52" s="6">
        <v>0.15</v>
      </c>
      <c r="P52" s="6">
        <v>0.22</v>
      </c>
      <c r="Q52" s="6">
        <v>0.26</v>
      </c>
      <c r="R52" s="6">
        <v>0.16</v>
      </c>
      <c r="S52" s="6">
        <f t="shared" si="0"/>
        <v>0.22875000000000006</v>
      </c>
    </row>
    <row r="53" spans="1:19" x14ac:dyDescent="0.45">
      <c r="B53" t="s">
        <v>1294</v>
      </c>
      <c r="C53" s="6">
        <v>0.15</v>
      </c>
      <c r="D53" s="6">
        <v>0.13</v>
      </c>
      <c r="E53" s="6">
        <v>0.12</v>
      </c>
      <c r="F53" s="6">
        <v>0.15</v>
      </c>
      <c r="G53" s="6">
        <v>0.1</v>
      </c>
      <c r="H53" s="6">
        <v>0.13</v>
      </c>
      <c r="I53" s="6">
        <v>0.12</v>
      </c>
      <c r="J53" s="6">
        <v>0.2</v>
      </c>
      <c r="K53" s="6">
        <v>0.1</v>
      </c>
      <c r="L53" s="6">
        <v>0.1</v>
      </c>
      <c r="M53" s="6">
        <v>0.12</v>
      </c>
      <c r="N53" s="6">
        <v>7.0000000000000007E-2</v>
      </c>
      <c r="O53" s="6">
        <v>0.1</v>
      </c>
      <c r="P53" s="6">
        <v>0.08</v>
      </c>
      <c r="Q53" s="6">
        <v>0.1</v>
      </c>
      <c r="R53" s="6">
        <v>0.1</v>
      </c>
      <c r="S53" s="6">
        <f t="shared" si="0"/>
        <v>0.11687500000000005</v>
      </c>
    </row>
    <row r="54" spans="1:19" x14ac:dyDescent="0.45">
      <c r="A54" t="s">
        <v>53</v>
      </c>
      <c r="B54" t="s">
        <v>1256</v>
      </c>
      <c r="C54" s="6"/>
      <c r="D54" s="6" t="s">
        <v>1256</v>
      </c>
      <c r="E54" s="6" t="s">
        <v>1256</v>
      </c>
      <c r="F54" s="6" t="s">
        <v>1256</v>
      </c>
      <c r="G54" s="6" t="s">
        <v>1256</v>
      </c>
      <c r="H54" s="6" t="s">
        <v>1256</v>
      </c>
      <c r="I54" s="6" t="s">
        <v>1256</v>
      </c>
      <c r="J54" s="6" t="s">
        <v>1256</v>
      </c>
      <c r="K54" s="6" t="s">
        <v>1256</v>
      </c>
      <c r="L54" s="6" t="s">
        <v>1256</v>
      </c>
      <c r="M54" s="6" t="s">
        <v>1256</v>
      </c>
      <c r="N54" s="6" t="s">
        <v>1256</v>
      </c>
      <c r="O54" s="6" t="s">
        <v>1256</v>
      </c>
      <c r="P54" s="6" t="s">
        <v>1256</v>
      </c>
      <c r="Q54" s="6" t="s">
        <v>1256</v>
      </c>
      <c r="R54" s="6" t="s">
        <v>1256</v>
      </c>
      <c r="S54" s="6"/>
    </row>
    <row r="55" spans="1:19" x14ac:dyDescent="0.45">
      <c r="B55" t="s">
        <v>1290</v>
      </c>
      <c r="C55" s="6">
        <v>0.25</v>
      </c>
      <c r="D55" s="6">
        <v>0.18</v>
      </c>
      <c r="E55" s="6">
        <v>0.22</v>
      </c>
      <c r="F55" s="6">
        <v>0.2</v>
      </c>
      <c r="G55" s="6">
        <v>0.22</v>
      </c>
      <c r="H55" s="6">
        <v>0.22</v>
      </c>
      <c r="I55" s="6">
        <v>0.2</v>
      </c>
      <c r="J55" s="6">
        <v>0.25</v>
      </c>
      <c r="K55" s="6">
        <v>0.3</v>
      </c>
      <c r="L55" s="6">
        <v>0.25</v>
      </c>
      <c r="M55" s="6">
        <v>0.18</v>
      </c>
      <c r="N55" s="6">
        <v>0.25</v>
      </c>
      <c r="O55" s="6">
        <v>0.25</v>
      </c>
      <c r="P55" s="6">
        <v>0.22</v>
      </c>
      <c r="Q55" s="6">
        <v>0.2</v>
      </c>
      <c r="R55" s="6">
        <v>0.25</v>
      </c>
      <c r="S55" s="6">
        <f t="shared" si="0"/>
        <v>0.22750000000000004</v>
      </c>
    </row>
    <row r="56" spans="1:19" x14ac:dyDescent="0.45">
      <c r="B56" t="s">
        <v>1291</v>
      </c>
      <c r="C56" s="6">
        <v>0.4</v>
      </c>
      <c r="D56" s="6">
        <v>0.34</v>
      </c>
      <c r="E56" s="6">
        <v>0.35</v>
      </c>
      <c r="F56" s="6">
        <v>0.3</v>
      </c>
      <c r="G56" s="6">
        <v>0.36</v>
      </c>
      <c r="H56" s="6">
        <v>0.33</v>
      </c>
      <c r="I56" s="6">
        <v>0.35</v>
      </c>
      <c r="J56" s="6">
        <v>0.3</v>
      </c>
      <c r="K56" s="6">
        <v>0.35</v>
      </c>
      <c r="L56" s="6">
        <v>0.35</v>
      </c>
      <c r="M56" s="6">
        <v>0.32</v>
      </c>
      <c r="N56" s="6">
        <v>0.38</v>
      </c>
      <c r="O56" s="6">
        <v>0.45</v>
      </c>
      <c r="P56" s="6">
        <v>0.35</v>
      </c>
      <c r="Q56" s="6">
        <v>0.32</v>
      </c>
      <c r="R56" s="6">
        <v>0.4</v>
      </c>
      <c r="S56" s="6">
        <f t="shared" si="0"/>
        <v>0.35312500000000002</v>
      </c>
    </row>
    <row r="57" spans="1:19" x14ac:dyDescent="0.45">
      <c r="B57" t="s">
        <v>1292</v>
      </c>
      <c r="C57" s="6">
        <v>0.2</v>
      </c>
      <c r="D57" s="6">
        <v>0.27</v>
      </c>
      <c r="E57" s="6">
        <v>0.24</v>
      </c>
      <c r="F57" s="6">
        <v>0.3</v>
      </c>
      <c r="G57" s="6">
        <v>0.25</v>
      </c>
      <c r="H57" s="6">
        <v>0.25</v>
      </c>
      <c r="I57" s="6">
        <v>0.25</v>
      </c>
      <c r="J57" s="6">
        <v>0.25</v>
      </c>
      <c r="K57" s="6">
        <v>0.2</v>
      </c>
      <c r="L57" s="6">
        <v>0.25</v>
      </c>
      <c r="M57" s="6">
        <v>0.28000000000000003</v>
      </c>
      <c r="N57" s="6">
        <v>0.22</v>
      </c>
      <c r="O57" s="6">
        <v>0.2</v>
      </c>
      <c r="P57" s="6">
        <v>0.25</v>
      </c>
      <c r="Q57" s="6">
        <v>0.25</v>
      </c>
      <c r="R57" s="6">
        <v>0.25</v>
      </c>
      <c r="S57" s="6">
        <f t="shared" si="0"/>
        <v>0.24437500000000004</v>
      </c>
    </row>
    <row r="58" spans="1:19" x14ac:dyDescent="0.45">
      <c r="B58" t="s">
        <v>1293</v>
      </c>
      <c r="C58" s="6">
        <v>0.1</v>
      </c>
      <c r="D58" s="6">
        <v>0.14000000000000001</v>
      </c>
      <c r="E58" s="6">
        <v>0.13</v>
      </c>
      <c r="F58" s="6">
        <v>0.15</v>
      </c>
      <c r="G58" s="6">
        <v>0.12</v>
      </c>
      <c r="H58" s="6">
        <v>0.13</v>
      </c>
      <c r="I58" s="6">
        <v>0.14000000000000001</v>
      </c>
      <c r="J58" s="6">
        <v>0.15</v>
      </c>
      <c r="K58" s="6">
        <v>0.1</v>
      </c>
      <c r="L58" s="6">
        <v>0.1</v>
      </c>
      <c r="M58" s="6">
        <v>0.16</v>
      </c>
      <c r="N58" s="6">
        <v>0.1</v>
      </c>
      <c r="O58" s="6">
        <v>0.05</v>
      </c>
      <c r="P58" s="6">
        <v>0.14000000000000001</v>
      </c>
      <c r="Q58" s="6">
        <v>0.14000000000000001</v>
      </c>
      <c r="R58" s="6">
        <v>0.08</v>
      </c>
      <c r="S58" s="6">
        <f t="shared" si="0"/>
        <v>0.12062500000000004</v>
      </c>
    </row>
    <row r="59" spans="1:19" x14ac:dyDescent="0.45">
      <c r="B59" t="s">
        <v>1294</v>
      </c>
      <c r="C59" s="6">
        <v>0.05</v>
      </c>
      <c r="D59" s="6">
        <v>7.0000000000000007E-2</v>
      </c>
      <c r="E59" s="6">
        <v>0.06</v>
      </c>
      <c r="F59" s="6">
        <v>0.05</v>
      </c>
      <c r="G59" s="6">
        <v>0.05</v>
      </c>
      <c r="H59" s="6">
        <v>7.0000000000000007E-2</v>
      </c>
      <c r="I59" s="6">
        <v>0.06</v>
      </c>
      <c r="J59" s="6">
        <v>0.05</v>
      </c>
      <c r="K59" s="6">
        <v>0.05</v>
      </c>
      <c r="L59" s="6">
        <v>0.05</v>
      </c>
      <c r="M59" s="6">
        <v>0.06</v>
      </c>
      <c r="N59" s="6">
        <v>0.05</v>
      </c>
      <c r="O59" s="6">
        <v>0.05</v>
      </c>
      <c r="P59" s="6">
        <v>0.04</v>
      </c>
      <c r="Q59" s="6">
        <v>0.09</v>
      </c>
      <c r="R59" s="6">
        <v>0.02</v>
      </c>
      <c r="S59" s="6">
        <f t="shared" si="0"/>
        <v>5.4375000000000014E-2</v>
      </c>
    </row>
    <row r="60" spans="1:19" x14ac:dyDescent="0.45">
      <c r="A60" t="s">
        <v>59</v>
      </c>
      <c r="B60" t="s">
        <v>1256</v>
      </c>
      <c r="C60" s="6"/>
      <c r="D60" s="6" t="s">
        <v>1256</v>
      </c>
      <c r="E60" s="6" t="s">
        <v>1256</v>
      </c>
      <c r="F60" s="6" t="s">
        <v>1256</v>
      </c>
      <c r="G60" s="6" t="s">
        <v>1256</v>
      </c>
      <c r="H60" s="6" t="s">
        <v>1256</v>
      </c>
      <c r="I60" s="6" t="s">
        <v>1256</v>
      </c>
      <c r="J60" s="6" t="s">
        <v>1256</v>
      </c>
      <c r="K60" s="6" t="s">
        <v>1256</v>
      </c>
      <c r="L60" s="6" t="s">
        <v>1256</v>
      </c>
      <c r="M60" s="6" t="s">
        <v>1256</v>
      </c>
      <c r="N60" s="6" t="s">
        <v>1256</v>
      </c>
      <c r="O60" s="6" t="s">
        <v>1256</v>
      </c>
      <c r="P60" s="6" t="s">
        <v>1256</v>
      </c>
      <c r="Q60" s="6" t="s">
        <v>1256</v>
      </c>
      <c r="R60" s="6" t="s">
        <v>1256</v>
      </c>
      <c r="S60" s="6"/>
    </row>
    <row r="61" spans="1:19" x14ac:dyDescent="0.45">
      <c r="A61" t="s">
        <v>41</v>
      </c>
      <c r="B61" t="s">
        <v>1256</v>
      </c>
      <c r="C61" s="6"/>
      <c r="D61" s="6" t="s">
        <v>1256</v>
      </c>
      <c r="E61" s="6" t="s">
        <v>1256</v>
      </c>
      <c r="F61" s="6" t="s">
        <v>1256</v>
      </c>
      <c r="G61" s="6" t="s">
        <v>1256</v>
      </c>
      <c r="H61" s="6" t="s">
        <v>1256</v>
      </c>
      <c r="I61" s="6" t="s">
        <v>1256</v>
      </c>
      <c r="J61" s="6" t="s">
        <v>1256</v>
      </c>
      <c r="K61" s="6" t="s">
        <v>1256</v>
      </c>
      <c r="L61" s="6" t="s">
        <v>1256</v>
      </c>
      <c r="M61" s="6" t="s">
        <v>1256</v>
      </c>
      <c r="N61" s="6" t="s">
        <v>1256</v>
      </c>
      <c r="O61" s="6" t="s">
        <v>1256</v>
      </c>
      <c r="P61" s="6" t="s">
        <v>1256</v>
      </c>
      <c r="Q61" s="6" t="s">
        <v>1256</v>
      </c>
      <c r="R61" s="6" t="s">
        <v>1256</v>
      </c>
      <c r="S61" s="6"/>
    </row>
    <row r="62" spans="1:19" x14ac:dyDescent="0.45">
      <c r="B62" t="s">
        <v>1295</v>
      </c>
      <c r="C62" s="6">
        <v>0.45</v>
      </c>
      <c r="D62" s="6">
        <v>0.38</v>
      </c>
      <c r="E62" s="6">
        <v>0.35</v>
      </c>
      <c r="F62" s="6">
        <v>0.4</v>
      </c>
      <c r="G62" s="6">
        <v>0.34</v>
      </c>
      <c r="H62" s="6">
        <v>0.45</v>
      </c>
      <c r="I62" s="6">
        <v>0.35</v>
      </c>
      <c r="J62" s="6">
        <v>0.4</v>
      </c>
      <c r="K62" s="6">
        <v>0.25</v>
      </c>
      <c r="L62" s="6">
        <v>0.4</v>
      </c>
      <c r="M62" s="6">
        <v>0.34</v>
      </c>
      <c r="N62" s="6">
        <v>0.35</v>
      </c>
      <c r="O62" s="6">
        <v>0.3</v>
      </c>
      <c r="P62" s="6">
        <v>0.38</v>
      </c>
      <c r="Q62" s="6">
        <v>0.28000000000000003</v>
      </c>
      <c r="R62" s="6">
        <v>0.25</v>
      </c>
      <c r="S62" s="6">
        <f t="shared" si="0"/>
        <v>0.354375</v>
      </c>
    </row>
    <row r="63" spans="1:19" x14ac:dyDescent="0.45">
      <c r="B63" t="s">
        <v>1296</v>
      </c>
      <c r="C63" s="6">
        <v>0.65</v>
      </c>
      <c r="D63" s="6">
        <v>0.52</v>
      </c>
      <c r="E63" s="6">
        <v>0.55000000000000004</v>
      </c>
      <c r="F63" s="6">
        <v>0.5</v>
      </c>
      <c r="G63" s="6">
        <v>0.56000000000000005</v>
      </c>
      <c r="H63" s="6">
        <v>0.55000000000000004</v>
      </c>
      <c r="I63" s="6">
        <v>0.65</v>
      </c>
      <c r="J63" s="6">
        <v>0.6</v>
      </c>
      <c r="K63" s="6">
        <v>0.45</v>
      </c>
      <c r="L63" s="6">
        <v>0.65</v>
      </c>
      <c r="M63" s="6">
        <v>0.62</v>
      </c>
      <c r="N63" s="6">
        <v>0.65</v>
      </c>
      <c r="O63" s="6">
        <v>0.65</v>
      </c>
      <c r="P63" s="6">
        <v>0.46</v>
      </c>
      <c r="Q63" s="6">
        <v>0.45</v>
      </c>
      <c r="R63" s="6">
        <v>0.4</v>
      </c>
      <c r="S63" s="6">
        <f t="shared" si="0"/>
        <v>0.55687500000000012</v>
      </c>
    </row>
    <row r="64" spans="1:19" x14ac:dyDescent="0.45">
      <c r="B64" t="s">
        <v>1297</v>
      </c>
      <c r="C64" s="6">
        <v>0.3</v>
      </c>
      <c r="D64" s="6">
        <v>0.3</v>
      </c>
      <c r="E64" s="6">
        <v>0.4</v>
      </c>
      <c r="F64" s="6">
        <v>0.3</v>
      </c>
      <c r="G64" s="6">
        <v>0.41</v>
      </c>
      <c r="H64" s="6">
        <v>0.3</v>
      </c>
      <c r="I64" s="6">
        <v>0.3</v>
      </c>
      <c r="J64" s="6">
        <v>0.35</v>
      </c>
      <c r="K64" s="6">
        <v>0.4</v>
      </c>
      <c r="L64" s="6">
        <v>0.5</v>
      </c>
      <c r="M64" s="6">
        <v>0.41</v>
      </c>
      <c r="N64" s="6">
        <v>0.22</v>
      </c>
      <c r="O64" s="6">
        <v>0.2</v>
      </c>
      <c r="P64" s="6">
        <v>0.34</v>
      </c>
      <c r="Q64" s="6">
        <v>0.52</v>
      </c>
      <c r="R64" s="6">
        <v>0.5</v>
      </c>
      <c r="S64" s="6">
        <f t="shared" si="0"/>
        <v>0.359375</v>
      </c>
    </row>
    <row r="65" spans="1:19" x14ac:dyDescent="0.45">
      <c r="B65" t="s">
        <v>1298</v>
      </c>
      <c r="C65" s="6">
        <v>0.1</v>
      </c>
      <c r="D65" s="6">
        <v>0.08</v>
      </c>
      <c r="E65" s="6">
        <v>0.1</v>
      </c>
      <c r="F65" s="6">
        <v>0.1</v>
      </c>
      <c r="G65" s="6">
        <v>0.06</v>
      </c>
      <c r="H65" s="6">
        <v>0.08</v>
      </c>
      <c r="I65" s="6">
        <v>0.08</v>
      </c>
      <c r="J65" s="6">
        <v>0.1</v>
      </c>
      <c r="K65" s="6">
        <v>0.1</v>
      </c>
      <c r="L65" s="6">
        <v>0.12</v>
      </c>
      <c r="M65" s="6">
        <v>0.08</v>
      </c>
      <c r="N65" s="6">
        <v>0.05</v>
      </c>
      <c r="O65" s="6">
        <v>0.05</v>
      </c>
      <c r="P65" s="6">
        <v>0.1</v>
      </c>
      <c r="Q65" s="6">
        <v>0.08</v>
      </c>
      <c r="R65" s="6">
        <v>0.1</v>
      </c>
      <c r="S65" s="6">
        <f t="shared" si="0"/>
        <v>8.6250000000000007E-2</v>
      </c>
    </row>
    <row r="66" spans="1:19" x14ac:dyDescent="0.45">
      <c r="B66" t="s">
        <v>1299</v>
      </c>
      <c r="C66" s="6">
        <v>0.25</v>
      </c>
      <c r="D66" s="6">
        <v>0.28000000000000003</v>
      </c>
      <c r="E66" s="6">
        <v>0.3</v>
      </c>
      <c r="F66" s="6">
        <v>0.25</v>
      </c>
      <c r="G66" s="6">
        <v>0.28999999999999998</v>
      </c>
      <c r="H66" s="6">
        <v>0.35</v>
      </c>
      <c r="I66" s="6">
        <v>0.25</v>
      </c>
      <c r="J66" s="6">
        <v>0.25</v>
      </c>
      <c r="K66" s="6">
        <v>0.35</v>
      </c>
      <c r="L66" s="6">
        <v>0.45</v>
      </c>
      <c r="M66" s="6">
        <v>0.28000000000000003</v>
      </c>
      <c r="N66" s="6">
        <v>0.3</v>
      </c>
      <c r="O66" s="6">
        <v>0.25</v>
      </c>
      <c r="P66" s="6">
        <v>0.41</v>
      </c>
      <c r="Q66" s="6">
        <v>0.3</v>
      </c>
      <c r="R66" s="6">
        <v>0.2</v>
      </c>
      <c r="S66" s="6">
        <f t="shared" si="0"/>
        <v>0.29750000000000004</v>
      </c>
    </row>
    <row r="67" spans="1:19" x14ac:dyDescent="0.45">
      <c r="B67" t="s">
        <v>1289</v>
      </c>
      <c r="C67" s="6">
        <v>0.02</v>
      </c>
      <c r="D67" s="6">
        <v>0.06</v>
      </c>
      <c r="E67" s="6">
        <v>0.08</v>
      </c>
      <c r="F67" s="6">
        <v>0.05</v>
      </c>
      <c r="G67" s="6">
        <v>0.05</v>
      </c>
      <c r="H67" s="6">
        <v>0.05</v>
      </c>
      <c r="I67" s="6">
        <v>0.05</v>
      </c>
      <c r="J67" s="6">
        <v>0.15</v>
      </c>
      <c r="K67" s="6">
        <v>0.05</v>
      </c>
      <c r="L67" s="6">
        <v>0.08</v>
      </c>
      <c r="M67" s="6">
        <v>0.05</v>
      </c>
      <c r="N67" s="6">
        <v>0.04</v>
      </c>
      <c r="O67" s="6">
        <v>0.02</v>
      </c>
      <c r="P67" s="6">
        <v>0.08</v>
      </c>
      <c r="Q67" s="6">
        <v>0.05</v>
      </c>
      <c r="R67" s="6">
        <v>0.08</v>
      </c>
      <c r="S67" s="6">
        <f t="shared" si="0"/>
        <v>6.0000000000000005E-2</v>
      </c>
    </row>
    <row r="68" spans="1:19" x14ac:dyDescent="0.45">
      <c r="A68" t="s">
        <v>47</v>
      </c>
      <c r="B68" t="s">
        <v>1256</v>
      </c>
      <c r="C68" s="6"/>
      <c r="D68" s="6" t="s">
        <v>1256</v>
      </c>
      <c r="E68" s="6" t="s">
        <v>1256</v>
      </c>
      <c r="F68" s="6" t="s">
        <v>1256</v>
      </c>
      <c r="G68" s="6" t="s">
        <v>1256</v>
      </c>
      <c r="H68" s="6" t="s">
        <v>1256</v>
      </c>
      <c r="I68" s="6" t="s">
        <v>1256</v>
      </c>
      <c r="J68" s="6" t="s">
        <v>1256</v>
      </c>
      <c r="K68" s="6" t="s">
        <v>1256</v>
      </c>
      <c r="L68" s="6" t="s">
        <v>1256</v>
      </c>
      <c r="M68" s="6" t="s">
        <v>1256</v>
      </c>
      <c r="N68" s="6" t="s">
        <v>1256</v>
      </c>
      <c r="O68" s="6" t="s">
        <v>1256</v>
      </c>
      <c r="P68" s="6" t="s">
        <v>1256</v>
      </c>
      <c r="Q68" s="6" t="s">
        <v>1256</v>
      </c>
      <c r="R68" s="6" t="s">
        <v>1256</v>
      </c>
      <c r="S68" s="6"/>
    </row>
    <row r="69" spans="1:19" x14ac:dyDescent="0.45">
      <c r="B69" t="s">
        <v>1295</v>
      </c>
      <c r="C69" s="6">
        <v>0.35</v>
      </c>
      <c r="D69" s="6">
        <v>0.32</v>
      </c>
      <c r="E69" s="6">
        <v>0.3</v>
      </c>
      <c r="F69" s="6">
        <v>0.35</v>
      </c>
      <c r="G69" s="6">
        <v>0.42</v>
      </c>
      <c r="H69" s="6">
        <v>0.4</v>
      </c>
      <c r="I69" s="6">
        <v>0.45</v>
      </c>
      <c r="J69" s="6">
        <v>0.35</v>
      </c>
      <c r="K69" s="6">
        <v>0.3</v>
      </c>
      <c r="L69" s="6">
        <v>0.5</v>
      </c>
      <c r="M69" s="6">
        <v>0.38</v>
      </c>
      <c r="N69" s="6">
        <v>0.42</v>
      </c>
      <c r="O69" s="6">
        <v>0.4</v>
      </c>
      <c r="P69" s="6">
        <v>0.44</v>
      </c>
      <c r="Q69" s="6">
        <v>0.35</v>
      </c>
      <c r="R69" s="6">
        <v>0.2</v>
      </c>
      <c r="S69" s="6">
        <f t="shared" ref="S69:S132" si="1">AVERAGE(C69:R69)</f>
        <v>0.37062500000000004</v>
      </c>
    </row>
    <row r="70" spans="1:19" x14ac:dyDescent="0.45">
      <c r="B70" t="s">
        <v>1296</v>
      </c>
      <c r="C70" s="6">
        <v>0.8</v>
      </c>
      <c r="D70" s="6">
        <v>0.57999999999999996</v>
      </c>
      <c r="E70" s="6">
        <v>0.6</v>
      </c>
      <c r="F70" s="6">
        <v>0.55000000000000004</v>
      </c>
      <c r="G70" s="6">
        <v>0.61</v>
      </c>
      <c r="H70" s="6">
        <v>0.6</v>
      </c>
      <c r="I70" s="6">
        <v>0.55000000000000004</v>
      </c>
      <c r="J70" s="6">
        <v>0.65</v>
      </c>
      <c r="K70" s="6">
        <v>0.4</v>
      </c>
      <c r="L70" s="6">
        <v>0.45</v>
      </c>
      <c r="M70" s="6">
        <v>0.57999999999999996</v>
      </c>
      <c r="N70" s="6">
        <v>0.7</v>
      </c>
      <c r="O70" s="6">
        <v>0.7</v>
      </c>
      <c r="P70" s="6">
        <v>0.4</v>
      </c>
      <c r="Q70" s="6">
        <v>0.4</v>
      </c>
      <c r="R70" s="6">
        <v>0.45</v>
      </c>
      <c r="S70" s="6">
        <f t="shared" si="1"/>
        <v>0.56375000000000008</v>
      </c>
    </row>
    <row r="71" spans="1:19" x14ac:dyDescent="0.45">
      <c r="B71" t="s">
        <v>1297</v>
      </c>
      <c r="C71" s="6">
        <v>0.2</v>
      </c>
      <c r="D71" s="6">
        <v>0.28000000000000003</v>
      </c>
      <c r="E71" s="6">
        <v>0.35</v>
      </c>
      <c r="F71" s="6">
        <v>0.35</v>
      </c>
      <c r="G71" s="6">
        <v>0.38</v>
      </c>
      <c r="H71" s="6">
        <v>0.28000000000000003</v>
      </c>
      <c r="I71" s="6">
        <v>0.35</v>
      </c>
      <c r="J71" s="6">
        <v>0.4</v>
      </c>
      <c r="K71" s="6">
        <v>0.5</v>
      </c>
      <c r="L71" s="6">
        <v>0.55000000000000004</v>
      </c>
      <c r="M71" s="6">
        <v>0.46</v>
      </c>
      <c r="N71" s="6">
        <v>0.25</v>
      </c>
      <c r="O71" s="6">
        <v>0.25</v>
      </c>
      <c r="P71" s="6">
        <v>0.36</v>
      </c>
      <c r="Q71" s="6">
        <v>0.5</v>
      </c>
      <c r="R71" s="6">
        <v>0.55000000000000004</v>
      </c>
      <c r="S71" s="6">
        <f t="shared" si="1"/>
        <v>0.37562499999999999</v>
      </c>
    </row>
    <row r="72" spans="1:19" x14ac:dyDescent="0.45">
      <c r="B72" t="s">
        <v>1298</v>
      </c>
      <c r="C72" s="6">
        <v>0.05</v>
      </c>
      <c r="D72" s="6">
        <v>7.0000000000000007E-2</v>
      </c>
      <c r="E72" s="6">
        <v>0.08</v>
      </c>
      <c r="F72" s="6">
        <v>0.15</v>
      </c>
      <c r="G72" s="6">
        <v>0.05</v>
      </c>
      <c r="H72" s="6">
        <v>0.05</v>
      </c>
      <c r="I72" s="6">
        <v>0.1</v>
      </c>
      <c r="J72" s="6">
        <v>0.15</v>
      </c>
      <c r="K72" s="6">
        <v>0.08</v>
      </c>
      <c r="L72" s="6">
        <v>0.18</v>
      </c>
      <c r="M72" s="6">
        <v>0.1</v>
      </c>
      <c r="N72" s="6">
        <v>0.06</v>
      </c>
      <c r="O72" s="6">
        <v>0.1</v>
      </c>
      <c r="P72" s="6">
        <v>0.09</v>
      </c>
      <c r="Q72" s="6">
        <v>0.06</v>
      </c>
      <c r="R72" s="6">
        <v>0.08</v>
      </c>
      <c r="S72" s="6">
        <f t="shared" si="1"/>
        <v>9.0625000000000025E-2</v>
      </c>
    </row>
    <row r="73" spans="1:19" x14ac:dyDescent="0.45">
      <c r="B73" t="s">
        <v>1299</v>
      </c>
      <c r="C73" s="6">
        <v>0.2</v>
      </c>
      <c r="D73" s="6">
        <v>0.24</v>
      </c>
      <c r="E73" s="6">
        <v>0.28000000000000003</v>
      </c>
      <c r="F73" s="6">
        <v>0.3</v>
      </c>
      <c r="G73" s="6">
        <v>0.24</v>
      </c>
      <c r="H73" s="6">
        <v>0.38</v>
      </c>
      <c r="I73" s="6">
        <v>0.2</v>
      </c>
      <c r="J73" s="6">
        <v>0.2</v>
      </c>
      <c r="K73" s="6">
        <v>0.3</v>
      </c>
      <c r="L73" s="6">
        <v>0.5</v>
      </c>
      <c r="M73" s="6">
        <v>0.32</v>
      </c>
      <c r="N73" s="6">
        <v>0.28000000000000003</v>
      </c>
      <c r="O73" s="6">
        <v>0.3</v>
      </c>
      <c r="P73" s="6">
        <v>0.38</v>
      </c>
      <c r="Q73" s="6">
        <v>0.34</v>
      </c>
      <c r="R73" s="6">
        <v>0.25</v>
      </c>
      <c r="S73" s="6">
        <f t="shared" si="1"/>
        <v>0.29437499999999994</v>
      </c>
    </row>
    <row r="74" spans="1:19" x14ac:dyDescent="0.45">
      <c r="B74" t="s">
        <v>1289</v>
      </c>
      <c r="C74" s="6">
        <v>0.02</v>
      </c>
      <c r="D74" s="6">
        <v>0.05</v>
      </c>
      <c r="E74" s="6">
        <v>7.0000000000000007E-2</v>
      </c>
      <c r="F74" s="6">
        <v>0.05</v>
      </c>
      <c r="G74" s="6">
        <v>0.04</v>
      </c>
      <c r="H74" s="6">
        <v>0.04</v>
      </c>
      <c r="I74" s="6">
        <v>0.05</v>
      </c>
      <c r="J74" s="6">
        <v>0.1</v>
      </c>
      <c r="K74" s="6">
        <v>0.05</v>
      </c>
      <c r="L74" s="6">
        <v>0.1</v>
      </c>
      <c r="M74" s="6">
        <v>0.06</v>
      </c>
      <c r="N74" s="6">
        <v>0.03</v>
      </c>
      <c r="O74" s="6">
        <v>0.02</v>
      </c>
      <c r="P74" s="6">
        <v>7.0000000000000007E-2</v>
      </c>
      <c r="Q74" s="6">
        <v>0.06</v>
      </c>
      <c r="R74" s="6">
        <v>0.06</v>
      </c>
      <c r="S74" s="6">
        <f t="shared" si="1"/>
        <v>5.4375000000000021E-2</v>
      </c>
    </row>
    <row r="75" spans="1:19" x14ac:dyDescent="0.45">
      <c r="A75" t="s">
        <v>53</v>
      </c>
      <c r="B75" t="s">
        <v>1256</v>
      </c>
      <c r="C75" s="6"/>
      <c r="D75" s="6" t="s">
        <v>1256</v>
      </c>
      <c r="E75" s="6" t="s">
        <v>1256</v>
      </c>
      <c r="F75" s="6" t="s">
        <v>1256</v>
      </c>
      <c r="G75" s="6" t="s">
        <v>1256</v>
      </c>
      <c r="H75" s="6" t="s">
        <v>1256</v>
      </c>
      <c r="I75" s="6" t="s">
        <v>1256</v>
      </c>
      <c r="J75" s="6" t="s">
        <v>1256</v>
      </c>
      <c r="K75" s="6" t="s">
        <v>1256</v>
      </c>
      <c r="L75" s="6" t="s">
        <v>1256</v>
      </c>
      <c r="M75" s="6" t="s">
        <v>1256</v>
      </c>
      <c r="N75" s="6" t="s">
        <v>1256</v>
      </c>
      <c r="O75" s="6" t="s">
        <v>1256</v>
      </c>
      <c r="P75" s="6" t="s">
        <v>1256</v>
      </c>
      <c r="Q75" s="6" t="s">
        <v>1256</v>
      </c>
      <c r="R75" s="6" t="s">
        <v>1256</v>
      </c>
      <c r="S75" s="6"/>
    </row>
    <row r="76" spans="1:19" x14ac:dyDescent="0.45">
      <c r="B76" t="s">
        <v>1295</v>
      </c>
      <c r="C76" s="6">
        <v>0.4</v>
      </c>
      <c r="D76" s="6">
        <v>0.3</v>
      </c>
      <c r="E76" s="6">
        <v>0.25</v>
      </c>
      <c r="F76" s="6">
        <v>0.45</v>
      </c>
      <c r="G76" s="6">
        <v>0.26</v>
      </c>
      <c r="H76" s="6">
        <v>0.35</v>
      </c>
      <c r="I76" s="6">
        <v>0.25</v>
      </c>
      <c r="J76" s="6">
        <v>0.3</v>
      </c>
      <c r="K76" s="6">
        <v>0.2</v>
      </c>
      <c r="L76" s="6">
        <v>0.35</v>
      </c>
      <c r="M76" s="6">
        <v>0.26</v>
      </c>
      <c r="N76" s="6">
        <v>0.25</v>
      </c>
      <c r="O76" s="6">
        <v>0.35</v>
      </c>
      <c r="P76" s="6">
        <v>0.28000000000000003</v>
      </c>
      <c r="Q76" s="6">
        <v>0.2</v>
      </c>
      <c r="R76" s="6">
        <v>0.18</v>
      </c>
      <c r="S76" s="6">
        <f t="shared" si="1"/>
        <v>0.28937499999999999</v>
      </c>
    </row>
    <row r="77" spans="1:19" x14ac:dyDescent="0.45">
      <c r="B77" t="s">
        <v>1296</v>
      </c>
      <c r="C77" s="6">
        <v>0.5</v>
      </c>
      <c r="D77" s="6">
        <v>0.38</v>
      </c>
      <c r="E77" s="6">
        <v>0.4</v>
      </c>
      <c r="F77" s="6">
        <v>0.4</v>
      </c>
      <c r="G77" s="6">
        <v>0.39</v>
      </c>
      <c r="H77" s="6">
        <v>0.42</v>
      </c>
      <c r="I77" s="6">
        <v>0.4</v>
      </c>
      <c r="J77" s="6">
        <v>0.5</v>
      </c>
      <c r="K77" s="6">
        <v>0.3</v>
      </c>
      <c r="L77" s="6">
        <v>0.3</v>
      </c>
      <c r="M77" s="6">
        <v>0.42</v>
      </c>
      <c r="N77" s="6">
        <v>0.4</v>
      </c>
      <c r="O77" s="6">
        <v>0.5</v>
      </c>
      <c r="P77" s="6">
        <v>0.33</v>
      </c>
      <c r="Q77" s="6">
        <v>0.25</v>
      </c>
      <c r="R77" s="6">
        <v>0.25</v>
      </c>
      <c r="S77" s="6">
        <f t="shared" si="1"/>
        <v>0.38375000000000004</v>
      </c>
    </row>
    <row r="78" spans="1:19" x14ac:dyDescent="0.45">
      <c r="B78" t="s">
        <v>1297</v>
      </c>
      <c r="C78" s="6">
        <v>0.4</v>
      </c>
      <c r="D78" s="6">
        <v>0.36</v>
      </c>
      <c r="E78" s="6">
        <v>0.45</v>
      </c>
      <c r="F78" s="6">
        <v>0.4</v>
      </c>
      <c r="G78" s="6">
        <v>0.37</v>
      </c>
      <c r="H78" s="6">
        <v>0.38</v>
      </c>
      <c r="I78" s="6">
        <v>0.45</v>
      </c>
      <c r="J78" s="6">
        <v>0.3</v>
      </c>
      <c r="K78" s="6">
        <v>0.35</v>
      </c>
      <c r="L78" s="6">
        <v>0.6</v>
      </c>
      <c r="M78" s="6">
        <v>0.38</v>
      </c>
      <c r="N78" s="6">
        <v>0.35</v>
      </c>
      <c r="O78" s="6">
        <v>0.3</v>
      </c>
      <c r="P78" s="6">
        <v>0.37</v>
      </c>
      <c r="Q78" s="6">
        <v>0.4</v>
      </c>
      <c r="R78" s="6">
        <v>0.4</v>
      </c>
      <c r="S78" s="6">
        <f t="shared" si="1"/>
        <v>0.39124999999999999</v>
      </c>
    </row>
    <row r="79" spans="1:19" x14ac:dyDescent="0.45">
      <c r="B79" t="s">
        <v>1298</v>
      </c>
      <c r="C79" s="6">
        <v>0.15</v>
      </c>
      <c r="D79" s="6">
        <v>0.12</v>
      </c>
      <c r="E79" s="6">
        <v>0.12</v>
      </c>
      <c r="F79" s="6">
        <v>0.2</v>
      </c>
      <c r="G79" s="6">
        <v>0.08</v>
      </c>
      <c r="H79" s="6">
        <v>0.1</v>
      </c>
      <c r="I79" s="6">
        <v>0.12</v>
      </c>
      <c r="J79" s="6">
        <v>0.05</v>
      </c>
      <c r="K79" s="6">
        <v>0.15</v>
      </c>
      <c r="L79" s="6">
        <v>0.2</v>
      </c>
      <c r="M79" s="6">
        <v>0.06</v>
      </c>
      <c r="N79" s="6">
        <v>0.04</v>
      </c>
      <c r="O79" s="6">
        <v>0.1</v>
      </c>
      <c r="P79" s="6">
        <v>7.0000000000000007E-2</v>
      </c>
      <c r="Q79" s="6">
        <v>0.1</v>
      </c>
      <c r="R79" s="6">
        <v>0.12</v>
      </c>
      <c r="S79" s="6">
        <f t="shared" si="1"/>
        <v>0.11125000000000002</v>
      </c>
    </row>
    <row r="80" spans="1:19" x14ac:dyDescent="0.45">
      <c r="B80" t="s">
        <v>1299</v>
      </c>
      <c r="C80" s="6">
        <v>0.3</v>
      </c>
      <c r="D80" s="6">
        <v>0.32</v>
      </c>
      <c r="E80" s="6">
        <v>0.35</v>
      </c>
      <c r="F80" s="6">
        <v>0.35</v>
      </c>
      <c r="G80" s="6">
        <v>0.27</v>
      </c>
      <c r="H80" s="6">
        <v>0.3</v>
      </c>
      <c r="I80" s="6">
        <v>0.35</v>
      </c>
      <c r="J80" s="6">
        <v>0.3</v>
      </c>
      <c r="K80" s="6">
        <v>0.25</v>
      </c>
      <c r="L80" s="6">
        <v>0.4</v>
      </c>
      <c r="M80" s="6">
        <v>0.22</v>
      </c>
      <c r="N80" s="6">
        <v>0.25</v>
      </c>
      <c r="O80" s="6">
        <v>0.2</v>
      </c>
      <c r="P80" s="6">
        <v>0.35</v>
      </c>
      <c r="Q80" s="6">
        <v>0.22</v>
      </c>
      <c r="R80" s="6">
        <v>0.15</v>
      </c>
      <c r="S80" s="6">
        <f t="shared" si="1"/>
        <v>0.28625</v>
      </c>
    </row>
    <row r="81" spans="1:19" x14ac:dyDescent="0.45">
      <c r="B81" t="s">
        <v>1289</v>
      </c>
      <c r="C81" s="6">
        <v>0.05</v>
      </c>
      <c r="D81" s="6">
        <v>0.1</v>
      </c>
      <c r="E81" s="6">
        <v>0.12</v>
      </c>
      <c r="F81" s="6">
        <v>0.1</v>
      </c>
      <c r="G81" s="6">
        <v>7.0000000000000007E-2</v>
      </c>
      <c r="H81" s="6">
        <v>0.08</v>
      </c>
      <c r="I81" s="6">
        <v>0.1</v>
      </c>
      <c r="J81" s="6">
        <v>0.2</v>
      </c>
      <c r="K81" s="6">
        <v>0.1</v>
      </c>
      <c r="L81" s="6">
        <v>0.15</v>
      </c>
      <c r="M81" s="6">
        <v>0.08</v>
      </c>
      <c r="N81" s="6">
        <v>0.08</v>
      </c>
      <c r="O81" s="6">
        <v>0.05</v>
      </c>
      <c r="P81" s="6">
        <v>0.12</v>
      </c>
      <c r="Q81" s="6">
        <v>0.08</v>
      </c>
      <c r="R81" s="6">
        <v>0.1</v>
      </c>
      <c r="S81" s="6">
        <f t="shared" si="1"/>
        <v>9.8750000000000032E-2</v>
      </c>
    </row>
    <row r="82" spans="1:19" x14ac:dyDescent="0.45">
      <c r="A82" t="s">
        <v>77</v>
      </c>
      <c r="B82" t="s">
        <v>1256</v>
      </c>
      <c r="C82" s="6"/>
      <c r="D82" s="6" t="s">
        <v>1256</v>
      </c>
      <c r="E82" s="6" t="s">
        <v>1256</v>
      </c>
      <c r="F82" s="6" t="s">
        <v>1256</v>
      </c>
      <c r="G82" s="6" t="s">
        <v>1256</v>
      </c>
      <c r="H82" s="6" t="s">
        <v>1256</v>
      </c>
      <c r="I82" s="6" t="s">
        <v>1256</v>
      </c>
      <c r="J82" s="6" t="s">
        <v>1256</v>
      </c>
      <c r="K82" s="6" t="s">
        <v>1256</v>
      </c>
      <c r="L82" s="6" t="s">
        <v>1256</v>
      </c>
      <c r="M82" s="6" t="s">
        <v>1256</v>
      </c>
      <c r="N82" s="6" t="s">
        <v>1256</v>
      </c>
      <c r="O82" s="6" t="s">
        <v>1256</v>
      </c>
      <c r="P82" s="6" t="s">
        <v>1256</v>
      </c>
      <c r="Q82" s="6" t="s">
        <v>1256</v>
      </c>
      <c r="R82" s="6" t="s">
        <v>1256</v>
      </c>
      <c r="S82" s="6"/>
    </row>
    <row r="83" spans="1:19" x14ac:dyDescent="0.45">
      <c r="A83" t="s">
        <v>41</v>
      </c>
      <c r="B83" t="s">
        <v>1256</v>
      </c>
      <c r="C83" s="6"/>
      <c r="D83" s="6" t="s">
        <v>1256</v>
      </c>
      <c r="E83" s="6" t="s">
        <v>1256</v>
      </c>
      <c r="F83" s="6" t="s">
        <v>1256</v>
      </c>
      <c r="G83" s="6" t="s">
        <v>1256</v>
      </c>
      <c r="H83" s="6" t="s">
        <v>1256</v>
      </c>
      <c r="I83" s="6" t="s">
        <v>1256</v>
      </c>
      <c r="J83" s="6" t="s">
        <v>1256</v>
      </c>
      <c r="K83" s="6" t="s">
        <v>1256</v>
      </c>
      <c r="L83" s="6" t="s">
        <v>1256</v>
      </c>
      <c r="M83" s="6" t="s">
        <v>1256</v>
      </c>
      <c r="N83" s="6" t="s">
        <v>1256</v>
      </c>
      <c r="O83" s="6" t="s">
        <v>1256</v>
      </c>
      <c r="P83" s="6" t="s">
        <v>1256</v>
      </c>
      <c r="Q83" s="6" t="s">
        <v>1256</v>
      </c>
      <c r="R83" s="6" t="s">
        <v>1256</v>
      </c>
      <c r="S83" s="6"/>
    </row>
    <row r="84" spans="1:19" x14ac:dyDescent="0.45">
      <c r="B84" t="s">
        <v>1300</v>
      </c>
      <c r="C84" s="6">
        <v>0.9</v>
      </c>
      <c r="D84" s="6">
        <v>0.78</v>
      </c>
      <c r="E84" s="6">
        <v>0.75</v>
      </c>
      <c r="F84" s="6">
        <v>0.7</v>
      </c>
      <c r="G84" s="6">
        <v>0.68</v>
      </c>
      <c r="H84" s="6">
        <v>0.75</v>
      </c>
      <c r="I84" s="6">
        <v>0.78</v>
      </c>
      <c r="J84" s="6">
        <v>0.9</v>
      </c>
      <c r="K84" s="6">
        <v>0.7</v>
      </c>
      <c r="L84" s="6">
        <v>0.7</v>
      </c>
      <c r="M84" s="6">
        <v>0.74</v>
      </c>
      <c r="N84" s="6">
        <v>0.85</v>
      </c>
      <c r="O84" s="6">
        <v>0.9</v>
      </c>
      <c r="P84" s="6">
        <v>0.62</v>
      </c>
      <c r="Q84" s="6">
        <v>0.78</v>
      </c>
      <c r="R84" s="6">
        <v>0.6</v>
      </c>
      <c r="S84" s="6">
        <f t="shared" si="1"/>
        <v>0.75812499999999994</v>
      </c>
    </row>
    <row r="85" spans="1:19" x14ac:dyDescent="0.45">
      <c r="B85" t="s">
        <v>1301</v>
      </c>
      <c r="C85" s="6">
        <v>0.4</v>
      </c>
      <c r="D85" s="6">
        <v>0.3</v>
      </c>
      <c r="E85" s="6">
        <v>0.3</v>
      </c>
      <c r="F85" s="6">
        <v>0.2</v>
      </c>
      <c r="G85" s="6">
        <v>0.28999999999999998</v>
      </c>
      <c r="H85" s="6">
        <v>0.35</v>
      </c>
      <c r="I85" s="6">
        <v>0.42</v>
      </c>
      <c r="J85" s="6">
        <v>0.4</v>
      </c>
      <c r="K85" s="6">
        <v>0.3</v>
      </c>
      <c r="L85" s="6">
        <v>0.25</v>
      </c>
      <c r="M85" s="6">
        <v>0.52</v>
      </c>
      <c r="N85" s="6">
        <v>0.3</v>
      </c>
      <c r="O85" s="6">
        <v>0.25</v>
      </c>
      <c r="P85" s="6">
        <v>0.28000000000000003</v>
      </c>
      <c r="Q85" s="6">
        <v>0.42</v>
      </c>
      <c r="R85" s="6">
        <v>0.2</v>
      </c>
      <c r="S85" s="6">
        <f t="shared" si="1"/>
        <v>0.32374999999999998</v>
      </c>
    </row>
    <row r="86" spans="1:19" x14ac:dyDescent="0.45">
      <c r="B86" t="s">
        <v>1302</v>
      </c>
      <c r="C86" s="6">
        <v>0.6</v>
      </c>
      <c r="D86" s="6">
        <v>0.57999999999999996</v>
      </c>
      <c r="E86" s="6">
        <v>0.55000000000000004</v>
      </c>
      <c r="F86" s="6">
        <v>0.5</v>
      </c>
      <c r="G86" s="6">
        <v>0.52</v>
      </c>
      <c r="H86" s="6">
        <v>0.6</v>
      </c>
      <c r="I86" s="6">
        <v>0.55000000000000004</v>
      </c>
      <c r="J86" s="6">
        <v>0.7</v>
      </c>
      <c r="K86" s="6">
        <v>0.5</v>
      </c>
      <c r="L86" s="6">
        <v>0.55000000000000004</v>
      </c>
      <c r="M86" s="6">
        <v>0.57999999999999996</v>
      </c>
      <c r="N86" s="6">
        <v>0.6</v>
      </c>
      <c r="O86" s="6">
        <v>0.7</v>
      </c>
      <c r="P86" s="6">
        <v>0.54</v>
      </c>
      <c r="Q86" s="6">
        <v>0.67</v>
      </c>
      <c r="R86" s="6">
        <v>0.55000000000000004</v>
      </c>
      <c r="S86" s="6">
        <f t="shared" si="1"/>
        <v>0.58062500000000006</v>
      </c>
    </row>
    <row r="87" spans="1:19" x14ac:dyDescent="0.45">
      <c r="B87" t="s">
        <v>1303</v>
      </c>
      <c r="C87" s="6">
        <v>0.35</v>
      </c>
      <c r="D87" s="6">
        <v>0.38</v>
      </c>
      <c r="E87" s="6">
        <v>0.25</v>
      </c>
      <c r="F87" s="6">
        <v>0.4</v>
      </c>
      <c r="G87" s="6">
        <v>0.31</v>
      </c>
      <c r="H87" s="6">
        <v>0.4</v>
      </c>
      <c r="I87" s="6">
        <v>0.38</v>
      </c>
      <c r="J87" s="6">
        <v>0.6</v>
      </c>
      <c r="K87" s="6">
        <v>0.4</v>
      </c>
      <c r="L87" s="6">
        <v>0.4</v>
      </c>
      <c r="M87" s="6">
        <v>0.44</v>
      </c>
      <c r="N87" s="6">
        <v>0.25</v>
      </c>
      <c r="O87" s="6">
        <v>0.45</v>
      </c>
      <c r="P87" s="6">
        <v>0.32</v>
      </c>
      <c r="Q87" s="6">
        <v>0.4</v>
      </c>
      <c r="R87" s="6">
        <v>0.25</v>
      </c>
      <c r="S87" s="6">
        <f t="shared" si="1"/>
        <v>0.37375000000000003</v>
      </c>
    </row>
    <row r="88" spans="1:19" x14ac:dyDescent="0.45">
      <c r="B88" t="s">
        <v>1304</v>
      </c>
      <c r="C88" s="6">
        <v>0.3</v>
      </c>
      <c r="D88" s="6">
        <v>0.3</v>
      </c>
      <c r="E88" s="6">
        <v>0.2</v>
      </c>
      <c r="F88" s="6">
        <v>0.35</v>
      </c>
      <c r="G88" s="6">
        <v>0.27</v>
      </c>
      <c r="H88" s="6">
        <v>0.3</v>
      </c>
      <c r="I88" s="6">
        <v>0.3</v>
      </c>
      <c r="J88" s="6">
        <v>0.5</v>
      </c>
      <c r="K88" s="6">
        <v>0.25</v>
      </c>
      <c r="L88" s="6">
        <v>0.3</v>
      </c>
      <c r="M88" s="6">
        <v>0.38</v>
      </c>
      <c r="N88" s="6">
        <v>0.22</v>
      </c>
      <c r="O88" s="6">
        <v>0.4</v>
      </c>
      <c r="P88" s="6">
        <v>0.28999999999999998</v>
      </c>
      <c r="Q88" s="6">
        <v>0.35</v>
      </c>
      <c r="R88" s="6">
        <v>0.18</v>
      </c>
      <c r="S88" s="6">
        <f t="shared" si="1"/>
        <v>0.30562499999999998</v>
      </c>
    </row>
    <row r="89" spans="1:19" x14ac:dyDescent="0.45">
      <c r="B89" t="s">
        <v>1305</v>
      </c>
      <c r="C89" s="6">
        <v>0.25</v>
      </c>
      <c r="D89" s="6">
        <v>0.28000000000000003</v>
      </c>
      <c r="E89" s="6">
        <v>0.18</v>
      </c>
      <c r="F89" s="6">
        <v>0.25</v>
      </c>
      <c r="G89" s="6">
        <v>0.23</v>
      </c>
      <c r="H89" s="6">
        <v>0.45</v>
      </c>
      <c r="I89" s="6">
        <v>0.25</v>
      </c>
      <c r="J89" s="6">
        <v>0.45</v>
      </c>
      <c r="K89" s="6">
        <v>0.35</v>
      </c>
      <c r="L89" s="6">
        <v>0.35</v>
      </c>
      <c r="M89" s="6">
        <v>0.32</v>
      </c>
      <c r="N89" s="6">
        <v>0.18</v>
      </c>
      <c r="O89" s="6">
        <v>0.3</v>
      </c>
      <c r="P89" s="6">
        <v>0.34</v>
      </c>
      <c r="Q89" s="6">
        <v>0.48</v>
      </c>
      <c r="R89" s="6">
        <v>0.4</v>
      </c>
      <c r="S89" s="6">
        <f t="shared" si="1"/>
        <v>0.31625000000000003</v>
      </c>
    </row>
    <row r="90" spans="1:19" x14ac:dyDescent="0.45">
      <c r="B90" t="s">
        <v>1289</v>
      </c>
      <c r="C90" s="6">
        <v>0.02</v>
      </c>
      <c r="D90" s="6">
        <v>0.06</v>
      </c>
      <c r="E90" s="6">
        <v>0.08</v>
      </c>
      <c r="F90" s="6">
        <v>0.1</v>
      </c>
      <c r="G90" s="6">
        <v>0.06</v>
      </c>
      <c r="H90" s="6">
        <v>0.08</v>
      </c>
      <c r="I90" s="6">
        <v>0.1</v>
      </c>
      <c r="J90" s="6">
        <v>0.15</v>
      </c>
      <c r="K90" s="6">
        <v>0.1</v>
      </c>
      <c r="L90" s="6">
        <v>0.1</v>
      </c>
      <c r="M90" s="6">
        <v>0.06</v>
      </c>
      <c r="N90" s="6">
        <v>0.05</v>
      </c>
      <c r="O90" s="6">
        <v>0.02</v>
      </c>
      <c r="P90" s="6">
        <v>0.09</v>
      </c>
      <c r="Q90" s="6">
        <v>0.06</v>
      </c>
      <c r="R90" s="6">
        <v>0.15</v>
      </c>
      <c r="S90" s="6">
        <f t="shared" si="1"/>
        <v>0.08</v>
      </c>
    </row>
    <row r="91" spans="1:19" x14ac:dyDescent="0.45">
      <c r="A91" t="s">
        <v>47</v>
      </c>
      <c r="B91" t="s">
        <v>1256</v>
      </c>
      <c r="C91" s="6"/>
      <c r="D91" s="6" t="s">
        <v>1256</v>
      </c>
      <c r="E91" s="6" t="s">
        <v>1256</v>
      </c>
      <c r="F91" s="6" t="s">
        <v>1256</v>
      </c>
      <c r="G91" s="6" t="s">
        <v>1256</v>
      </c>
      <c r="H91" s="6" t="s">
        <v>1256</v>
      </c>
      <c r="I91" s="6" t="s">
        <v>1256</v>
      </c>
      <c r="J91" s="6" t="s">
        <v>1256</v>
      </c>
      <c r="K91" s="6" t="s">
        <v>1256</v>
      </c>
      <c r="L91" s="6" t="s">
        <v>1256</v>
      </c>
      <c r="M91" s="6" t="s">
        <v>1256</v>
      </c>
      <c r="N91" s="6" t="s">
        <v>1256</v>
      </c>
      <c r="O91" s="6" t="s">
        <v>1256</v>
      </c>
      <c r="P91" s="6" t="s">
        <v>1256</v>
      </c>
      <c r="Q91" s="6" t="s">
        <v>1256</v>
      </c>
      <c r="R91" s="6" t="s">
        <v>1256</v>
      </c>
      <c r="S91" s="6"/>
    </row>
    <row r="92" spans="1:19" x14ac:dyDescent="0.45">
      <c r="B92" t="s">
        <v>1300</v>
      </c>
      <c r="C92" s="6">
        <v>0.2</v>
      </c>
      <c r="D92" s="6">
        <v>0.34</v>
      </c>
      <c r="E92" s="6">
        <v>0.2</v>
      </c>
      <c r="F92" s="6">
        <v>0.15</v>
      </c>
      <c r="G92" s="6">
        <v>0.24</v>
      </c>
      <c r="H92" s="6">
        <v>0.3</v>
      </c>
      <c r="I92" s="6">
        <v>0.3</v>
      </c>
      <c r="J92" s="6">
        <v>0.5</v>
      </c>
      <c r="K92" s="6">
        <v>0.2</v>
      </c>
      <c r="L92" s="6">
        <v>0.4</v>
      </c>
      <c r="M92" s="6">
        <v>0.36</v>
      </c>
      <c r="N92" s="6">
        <v>0.2</v>
      </c>
      <c r="O92" s="6">
        <v>0.2</v>
      </c>
      <c r="P92" s="6">
        <v>0.24</v>
      </c>
      <c r="Q92" s="6">
        <v>0.45</v>
      </c>
      <c r="R92" s="6">
        <v>0.2</v>
      </c>
      <c r="S92" s="6">
        <f t="shared" si="1"/>
        <v>0.28000000000000003</v>
      </c>
    </row>
    <row r="93" spans="1:19" x14ac:dyDescent="0.45">
      <c r="B93" t="s">
        <v>1301</v>
      </c>
      <c r="C93" s="6">
        <v>0.95</v>
      </c>
      <c r="D93" s="6">
        <v>0.84</v>
      </c>
      <c r="E93" s="6">
        <v>0.88</v>
      </c>
      <c r="F93" s="6">
        <v>0.8</v>
      </c>
      <c r="G93" s="6">
        <v>0.79</v>
      </c>
      <c r="H93" s="6">
        <v>0.85</v>
      </c>
      <c r="I93" s="6">
        <v>0.82</v>
      </c>
      <c r="J93" s="6">
        <v>0.95</v>
      </c>
      <c r="K93" s="6">
        <v>0.85</v>
      </c>
      <c r="L93" s="6">
        <v>0.8</v>
      </c>
      <c r="M93" s="6">
        <v>0.88</v>
      </c>
      <c r="N93" s="6">
        <v>0.92</v>
      </c>
      <c r="O93" s="6">
        <v>0.95</v>
      </c>
      <c r="P93" s="6">
        <v>0.74</v>
      </c>
      <c r="Q93" s="6">
        <v>0.88</v>
      </c>
      <c r="R93" s="6">
        <v>0.7</v>
      </c>
      <c r="S93" s="6">
        <f t="shared" si="1"/>
        <v>0.85</v>
      </c>
    </row>
    <row r="94" spans="1:19" x14ac:dyDescent="0.45">
      <c r="B94" t="s">
        <v>1302</v>
      </c>
      <c r="C94" s="6">
        <v>0.3</v>
      </c>
      <c r="D94" s="6">
        <v>0.32</v>
      </c>
      <c r="E94" s="6">
        <v>0.25</v>
      </c>
      <c r="F94" s="6">
        <v>0.4</v>
      </c>
      <c r="G94" s="6">
        <v>0.28000000000000003</v>
      </c>
      <c r="H94" s="6">
        <v>0.25</v>
      </c>
      <c r="I94" s="6">
        <v>0.28000000000000003</v>
      </c>
      <c r="J94" s="6">
        <v>0.6</v>
      </c>
      <c r="K94" s="6">
        <v>0.3</v>
      </c>
      <c r="L94" s="6">
        <v>0.4</v>
      </c>
      <c r="M94" s="6">
        <v>0.48</v>
      </c>
      <c r="N94" s="6">
        <v>0.35</v>
      </c>
      <c r="O94" s="6">
        <v>0.35</v>
      </c>
      <c r="P94" s="6">
        <v>0.42</v>
      </c>
      <c r="Q94" s="6">
        <v>0.55000000000000004</v>
      </c>
      <c r="R94" s="6">
        <v>0.35</v>
      </c>
      <c r="S94" s="6">
        <f t="shared" si="1"/>
        <v>0.36749999999999994</v>
      </c>
    </row>
    <row r="95" spans="1:19" x14ac:dyDescent="0.45">
      <c r="B95" t="s">
        <v>1303</v>
      </c>
      <c r="C95" s="6">
        <v>0.45</v>
      </c>
      <c r="D95" s="6">
        <v>0.28000000000000003</v>
      </c>
      <c r="E95" s="6">
        <v>0.22</v>
      </c>
      <c r="F95" s="6">
        <v>0.3</v>
      </c>
      <c r="G95" s="6">
        <v>0.21</v>
      </c>
      <c r="H95" s="6">
        <v>0.35</v>
      </c>
      <c r="I95" s="6">
        <v>0.35</v>
      </c>
      <c r="J95" s="6">
        <v>0.55000000000000004</v>
      </c>
      <c r="K95" s="6">
        <v>0.35</v>
      </c>
      <c r="L95" s="6">
        <v>0.45</v>
      </c>
      <c r="M95" s="6">
        <v>0.32</v>
      </c>
      <c r="N95" s="6">
        <v>0.3</v>
      </c>
      <c r="O95" s="6">
        <v>0.25</v>
      </c>
      <c r="P95" s="6">
        <v>0.26</v>
      </c>
      <c r="Q95" s="6">
        <v>0.38</v>
      </c>
      <c r="R95" s="6">
        <v>0.3</v>
      </c>
      <c r="S95" s="6">
        <f t="shared" si="1"/>
        <v>0.33249999999999996</v>
      </c>
    </row>
    <row r="96" spans="1:19" x14ac:dyDescent="0.45">
      <c r="B96" t="s">
        <v>1304</v>
      </c>
      <c r="C96" s="6">
        <v>0.4</v>
      </c>
      <c r="D96" s="6">
        <v>0.22</v>
      </c>
      <c r="E96" s="6">
        <v>0.3</v>
      </c>
      <c r="F96" s="6">
        <v>0.25</v>
      </c>
      <c r="G96" s="6">
        <v>0.33</v>
      </c>
      <c r="H96" s="6">
        <v>0.5</v>
      </c>
      <c r="I96" s="6">
        <v>0.4</v>
      </c>
      <c r="J96" s="6">
        <v>0.6</v>
      </c>
      <c r="K96" s="6">
        <v>0.4</v>
      </c>
      <c r="L96" s="6">
        <v>0.5</v>
      </c>
      <c r="M96" s="6">
        <v>0.26</v>
      </c>
      <c r="N96" s="6">
        <v>0.4</v>
      </c>
      <c r="O96" s="6">
        <v>0.3</v>
      </c>
      <c r="P96" s="6">
        <v>0.27</v>
      </c>
      <c r="Q96" s="6">
        <v>0.3</v>
      </c>
      <c r="R96" s="6">
        <v>0.25</v>
      </c>
      <c r="S96" s="6">
        <f t="shared" si="1"/>
        <v>0.35500000000000004</v>
      </c>
    </row>
    <row r="97" spans="1:19" x14ac:dyDescent="0.45">
      <c r="B97" t="s">
        <v>1305</v>
      </c>
      <c r="C97" s="6">
        <v>0.15</v>
      </c>
      <c r="D97" s="6">
        <v>0.24</v>
      </c>
      <c r="E97" s="6">
        <v>0.15</v>
      </c>
      <c r="F97" s="6">
        <v>0.2</v>
      </c>
      <c r="G97" s="6">
        <v>0.19</v>
      </c>
      <c r="H97" s="6">
        <v>0.28000000000000003</v>
      </c>
      <c r="I97" s="6">
        <v>0.2</v>
      </c>
      <c r="J97" s="6">
        <v>0.4</v>
      </c>
      <c r="K97" s="6">
        <v>0.25</v>
      </c>
      <c r="L97" s="6">
        <v>0.3</v>
      </c>
      <c r="M97" s="6">
        <v>0.42</v>
      </c>
      <c r="N97" s="6">
        <v>0.15</v>
      </c>
      <c r="O97" s="6">
        <v>0.15</v>
      </c>
      <c r="P97" s="6">
        <v>0.3</v>
      </c>
      <c r="Q97" s="6">
        <v>0.36</v>
      </c>
      <c r="R97" s="6">
        <v>0.25</v>
      </c>
      <c r="S97" s="6">
        <f t="shared" si="1"/>
        <v>0.24937499999999996</v>
      </c>
    </row>
    <row r="98" spans="1:19" x14ac:dyDescent="0.45">
      <c r="B98" t="s">
        <v>1289</v>
      </c>
      <c r="C98" s="6">
        <v>0.02</v>
      </c>
      <c r="D98" s="6">
        <v>7.0000000000000007E-2</v>
      </c>
      <c r="E98" s="6">
        <v>7.0000000000000007E-2</v>
      </c>
      <c r="F98" s="6">
        <v>0.05</v>
      </c>
      <c r="G98" s="6">
        <v>0.05</v>
      </c>
      <c r="H98" s="6">
        <v>0.06</v>
      </c>
      <c r="I98" s="6">
        <v>0.08</v>
      </c>
      <c r="J98" s="6">
        <v>0.1</v>
      </c>
      <c r="K98" s="6">
        <v>0.08</v>
      </c>
      <c r="L98" s="6">
        <v>0.05</v>
      </c>
      <c r="M98" s="6">
        <v>0.05</v>
      </c>
      <c r="N98" s="6">
        <v>0.04</v>
      </c>
      <c r="O98" s="6">
        <v>0.02</v>
      </c>
      <c r="P98" s="6">
        <v>0.08</v>
      </c>
      <c r="Q98" s="6">
        <v>0.08</v>
      </c>
      <c r="R98" s="6">
        <v>0.1</v>
      </c>
      <c r="S98" s="6">
        <f t="shared" si="1"/>
        <v>6.25E-2</v>
      </c>
    </row>
    <row r="99" spans="1:19" x14ac:dyDescent="0.45">
      <c r="A99" t="s">
        <v>53</v>
      </c>
      <c r="B99" t="s">
        <v>1256</v>
      </c>
      <c r="C99" s="6"/>
      <c r="D99" s="6" t="s">
        <v>1256</v>
      </c>
      <c r="E99" s="6" t="s">
        <v>1256</v>
      </c>
      <c r="F99" s="6" t="s">
        <v>1256</v>
      </c>
      <c r="G99" s="6" t="s">
        <v>1256</v>
      </c>
      <c r="H99" s="6" t="s">
        <v>1256</v>
      </c>
      <c r="I99" s="6" t="s">
        <v>1256</v>
      </c>
      <c r="J99" s="6" t="s">
        <v>1256</v>
      </c>
      <c r="K99" s="6" t="s">
        <v>1256</v>
      </c>
      <c r="L99" s="6" t="s">
        <v>1256</v>
      </c>
      <c r="M99" s="6" t="s">
        <v>1256</v>
      </c>
      <c r="N99" s="6" t="s">
        <v>1256</v>
      </c>
      <c r="O99" s="6" t="s">
        <v>1256</v>
      </c>
      <c r="P99" s="6" t="s">
        <v>1256</v>
      </c>
      <c r="Q99" s="6" t="s">
        <v>1256</v>
      </c>
      <c r="R99" s="6" t="s">
        <v>1256</v>
      </c>
      <c r="S99" s="6"/>
    </row>
    <row r="100" spans="1:19" x14ac:dyDescent="0.45">
      <c r="B100" t="s">
        <v>1300</v>
      </c>
      <c r="C100" s="6">
        <v>0.4</v>
      </c>
      <c r="D100" s="6">
        <v>0.42</v>
      </c>
      <c r="E100" s="6">
        <v>0.35</v>
      </c>
      <c r="F100" s="6">
        <v>0.3</v>
      </c>
      <c r="G100" s="6">
        <v>0.27</v>
      </c>
      <c r="H100" s="6">
        <v>0.4</v>
      </c>
      <c r="I100" s="6">
        <v>0.35</v>
      </c>
      <c r="J100" s="6">
        <v>0.6</v>
      </c>
      <c r="K100" s="6">
        <v>0.3</v>
      </c>
      <c r="L100" s="6">
        <v>0.4</v>
      </c>
      <c r="M100" s="6">
        <v>0.32</v>
      </c>
      <c r="N100" s="6">
        <v>0.3</v>
      </c>
      <c r="O100" s="6">
        <v>0.45</v>
      </c>
      <c r="P100" s="6">
        <v>0.35</v>
      </c>
      <c r="Q100" s="6">
        <v>0.5</v>
      </c>
      <c r="R100" s="6">
        <v>0.35</v>
      </c>
      <c r="S100" s="6">
        <f t="shared" si="1"/>
        <v>0.37874999999999998</v>
      </c>
    </row>
    <row r="101" spans="1:19" x14ac:dyDescent="0.45">
      <c r="B101" t="s">
        <v>1301</v>
      </c>
      <c r="C101" s="6">
        <v>0.3</v>
      </c>
      <c r="D101" s="6">
        <v>0.4</v>
      </c>
      <c r="E101" s="6">
        <v>0.4</v>
      </c>
      <c r="F101" s="6">
        <v>0.25</v>
      </c>
      <c r="G101" s="6">
        <v>0.22</v>
      </c>
      <c r="H101" s="6">
        <v>0.45</v>
      </c>
      <c r="I101" s="6">
        <v>0.38</v>
      </c>
      <c r="J101" s="6">
        <v>0.5</v>
      </c>
      <c r="K101" s="6">
        <v>0.4</v>
      </c>
      <c r="L101" s="6">
        <v>0.3</v>
      </c>
      <c r="M101" s="6">
        <v>0.54</v>
      </c>
      <c r="N101" s="6">
        <v>0.3</v>
      </c>
      <c r="O101" s="6">
        <v>0.4</v>
      </c>
      <c r="P101" s="6">
        <v>0.3</v>
      </c>
      <c r="Q101" s="6">
        <v>0.3</v>
      </c>
      <c r="R101" s="6">
        <v>0.25</v>
      </c>
      <c r="S101" s="6">
        <f t="shared" si="1"/>
        <v>0.35562499999999997</v>
      </c>
    </row>
    <row r="102" spans="1:19" x14ac:dyDescent="0.45">
      <c r="B102" t="s">
        <v>1302</v>
      </c>
      <c r="C102" s="6">
        <v>0.7</v>
      </c>
      <c r="D102" s="6">
        <v>0.5</v>
      </c>
      <c r="E102" s="6">
        <v>0.45</v>
      </c>
      <c r="F102" s="6">
        <v>0.45</v>
      </c>
      <c r="G102" s="6">
        <v>0.46</v>
      </c>
      <c r="H102" s="6">
        <v>0.5</v>
      </c>
      <c r="I102" s="6">
        <v>0.48</v>
      </c>
      <c r="J102" s="6">
        <v>0.65</v>
      </c>
      <c r="K102" s="6">
        <v>0.45</v>
      </c>
      <c r="L102" s="6">
        <v>0.5</v>
      </c>
      <c r="M102" s="6">
        <v>0.52</v>
      </c>
      <c r="N102" s="6">
        <v>0.45</v>
      </c>
      <c r="O102" s="6">
        <v>0.6</v>
      </c>
      <c r="P102" s="6">
        <v>0.46</v>
      </c>
      <c r="Q102" s="6">
        <v>0.48</v>
      </c>
      <c r="R102" s="6">
        <v>0.4</v>
      </c>
      <c r="S102" s="6">
        <f t="shared" si="1"/>
        <v>0.50312500000000004</v>
      </c>
    </row>
    <row r="103" spans="1:19" x14ac:dyDescent="0.45">
      <c r="B103" t="s">
        <v>1303</v>
      </c>
      <c r="C103" s="6">
        <v>0.2</v>
      </c>
      <c r="D103" s="6">
        <v>0.28000000000000003</v>
      </c>
      <c r="E103" s="6">
        <v>0.2</v>
      </c>
      <c r="F103" s="6">
        <v>0.35</v>
      </c>
      <c r="G103" s="6">
        <v>0.18</v>
      </c>
      <c r="H103" s="6">
        <v>0.3</v>
      </c>
      <c r="I103" s="6">
        <v>0.3</v>
      </c>
      <c r="J103" s="6">
        <v>0.4</v>
      </c>
      <c r="K103" s="6">
        <v>0.25</v>
      </c>
      <c r="L103" s="6">
        <v>0.35</v>
      </c>
      <c r="M103" s="6">
        <v>0.24</v>
      </c>
      <c r="N103" s="6">
        <v>0.15</v>
      </c>
      <c r="O103" s="6">
        <v>0.35</v>
      </c>
      <c r="P103" s="6">
        <v>0.22</v>
      </c>
      <c r="Q103" s="6">
        <v>0.25</v>
      </c>
      <c r="R103" s="6">
        <v>0.25</v>
      </c>
      <c r="S103" s="6">
        <f t="shared" si="1"/>
        <v>0.26687499999999997</v>
      </c>
    </row>
    <row r="104" spans="1:19" x14ac:dyDescent="0.45">
      <c r="B104" t="s">
        <v>1304</v>
      </c>
      <c r="C104" s="6">
        <v>0.15</v>
      </c>
      <c r="D104" s="6">
        <v>0.2</v>
      </c>
      <c r="E104" s="6">
        <v>0.15</v>
      </c>
      <c r="F104" s="6">
        <v>0.3</v>
      </c>
      <c r="G104" s="6">
        <v>0.2</v>
      </c>
      <c r="H104" s="6">
        <v>0.25</v>
      </c>
      <c r="I104" s="6">
        <v>0.22</v>
      </c>
      <c r="J104" s="6">
        <v>0.35</v>
      </c>
      <c r="K104" s="6">
        <v>0.2</v>
      </c>
      <c r="L104" s="6">
        <v>0.25</v>
      </c>
      <c r="M104" s="6">
        <v>0.18</v>
      </c>
      <c r="N104" s="6">
        <v>0.15</v>
      </c>
      <c r="O104" s="6">
        <v>0.25</v>
      </c>
      <c r="P104" s="6">
        <v>0.2</v>
      </c>
      <c r="Q104" s="6">
        <v>0.2</v>
      </c>
      <c r="R104" s="6">
        <v>0.2</v>
      </c>
      <c r="S104" s="6">
        <f t="shared" si="1"/>
        <v>0.21562500000000004</v>
      </c>
    </row>
    <row r="105" spans="1:19" x14ac:dyDescent="0.45">
      <c r="B105" t="s">
        <v>1305</v>
      </c>
      <c r="C105" s="6">
        <v>0.5</v>
      </c>
      <c r="D105" s="6">
        <v>0.36</v>
      </c>
      <c r="E105" s="6">
        <v>0.25</v>
      </c>
      <c r="F105" s="6">
        <v>0.4</v>
      </c>
      <c r="G105" s="6">
        <v>0.31</v>
      </c>
      <c r="H105" s="6">
        <v>0.35</v>
      </c>
      <c r="I105" s="6">
        <v>0.32</v>
      </c>
      <c r="J105" s="6">
        <v>0.5</v>
      </c>
      <c r="K105" s="6">
        <v>0.3</v>
      </c>
      <c r="L105" s="6">
        <v>0.4</v>
      </c>
      <c r="M105" s="6">
        <v>0.38</v>
      </c>
      <c r="N105" s="6">
        <v>0.25</v>
      </c>
      <c r="O105" s="6">
        <v>0.5</v>
      </c>
      <c r="P105" s="6">
        <v>0.33</v>
      </c>
      <c r="Q105" s="6">
        <v>0.42</v>
      </c>
      <c r="R105" s="6">
        <v>0.3</v>
      </c>
      <c r="S105" s="6">
        <f t="shared" si="1"/>
        <v>0.36687499999999995</v>
      </c>
    </row>
    <row r="106" spans="1:19" x14ac:dyDescent="0.45">
      <c r="B106" t="s">
        <v>1289</v>
      </c>
      <c r="C106" s="6">
        <v>0.1</v>
      </c>
      <c r="D106" s="6">
        <v>0.16</v>
      </c>
      <c r="E106" s="6">
        <v>0.15</v>
      </c>
      <c r="F106" s="6">
        <v>0.15</v>
      </c>
      <c r="G106" s="6">
        <v>0.11</v>
      </c>
      <c r="H106" s="6">
        <v>0.12</v>
      </c>
      <c r="I106" s="6">
        <v>0.18</v>
      </c>
      <c r="J106" s="6">
        <v>0.3</v>
      </c>
      <c r="K106" s="6">
        <v>0.15</v>
      </c>
      <c r="L106" s="6">
        <v>0.2</v>
      </c>
      <c r="M106" s="6">
        <v>0.12</v>
      </c>
      <c r="N106" s="6">
        <v>0.12</v>
      </c>
      <c r="O106" s="6">
        <v>0.05</v>
      </c>
      <c r="P106" s="6">
        <v>0.15</v>
      </c>
      <c r="Q106" s="6">
        <v>0.12</v>
      </c>
      <c r="R106" s="6">
        <v>0.25</v>
      </c>
      <c r="S106" s="6">
        <f t="shared" si="1"/>
        <v>0.15187500000000001</v>
      </c>
    </row>
    <row r="107" spans="1:19" x14ac:dyDescent="0.45">
      <c r="A107" t="s">
        <v>97</v>
      </c>
      <c r="B107" t="s">
        <v>1256</v>
      </c>
      <c r="C107" s="6"/>
      <c r="D107" s="6" t="s">
        <v>1256</v>
      </c>
      <c r="E107" s="6" t="s">
        <v>1256</v>
      </c>
      <c r="F107" s="6" t="s">
        <v>1256</v>
      </c>
      <c r="G107" s="6" t="s">
        <v>1256</v>
      </c>
      <c r="H107" s="6" t="s">
        <v>1256</v>
      </c>
      <c r="I107" s="6" t="s">
        <v>1256</v>
      </c>
      <c r="J107" s="6" t="s">
        <v>1256</v>
      </c>
      <c r="K107" s="6" t="s">
        <v>1256</v>
      </c>
      <c r="L107" s="6" t="s">
        <v>1256</v>
      </c>
      <c r="M107" s="6" t="s">
        <v>1256</v>
      </c>
      <c r="N107" s="6" t="s">
        <v>1256</v>
      </c>
      <c r="O107" s="6" t="s">
        <v>1256</v>
      </c>
      <c r="P107" s="6" t="s">
        <v>1256</v>
      </c>
      <c r="Q107" s="6" t="s">
        <v>1256</v>
      </c>
      <c r="R107" s="6" t="s">
        <v>1256</v>
      </c>
      <c r="S107" s="6"/>
    </row>
    <row r="108" spans="1:19" x14ac:dyDescent="0.45">
      <c r="A108" t="s">
        <v>41</v>
      </c>
      <c r="B108" t="s">
        <v>1256</v>
      </c>
      <c r="C108" s="6"/>
      <c r="D108" s="6" t="s">
        <v>1256</v>
      </c>
      <c r="E108" s="6" t="s">
        <v>1256</v>
      </c>
      <c r="F108" s="6" t="s">
        <v>1256</v>
      </c>
      <c r="G108" s="6" t="s">
        <v>1256</v>
      </c>
      <c r="H108" s="6" t="s">
        <v>1256</v>
      </c>
      <c r="I108" s="6" t="s">
        <v>1256</v>
      </c>
      <c r="J108" s="6" t="s">
        <v>1256</v>
      </c>
      <c r="K108" s="6" t="s">
        <v>1256</v>
      </c>
      <c r="L108" s="6" t="s">
        <v>1256</v>
      </c>
      <c r="M108" s="6" t="s">
        <v>1256</v>
      </c>
      <c r="N108" s="6" t="s">
        <v>1256</v>
      </c>
      <c r="O108" s="6" t="s">
        <v>1256</v>
      </c>
      <c r="P108" s="6" t="s">
        <v>1256</v>
      </c>
      <c r="Q108" s="6" t="s">
        <v>1256</v>
      </c>
      <c r="R108" s="6" t="s">
        <v>1256</v>
      </c>
      <c r="S108" s="6"/>
    </row>
    <row r="109" spans="1:19" x14ac:dyDescent="0.45">
      <c r="B109" t="s">
        <v>1306</v>
      </c>
      <c r="C109" s="6">
        <v>0.25</v>
      </c>
      <c r="D109" s="6">
        <v>0.28000000000000003</v>
      </c>
      <c r="E109" s="6">
        <v>0.18</v>
      </c>
      <c r="F109" s="6">
        <v>0.3</v>
      </c>
      <c r="G109" s="6">
        <v>0.18</v>
      </c>
      <c r="H109" s="6">
        <v>0.35</v>
      </c>
      <c r="I109" s="6">
        <v>0.28000000000000003</v>
      </c>
      <c r="J109" s="6">
        <v>0.4</v>
      </c>
      <c r="K109" s="6">
        <v>0.25</v>
      </c>
      <c r="L109" s="6">
        <v>0.3</v>
      </c>
      <c r="M109" s="6">
        <v>0.48</v>
      </c>
      <c r="N109" s="6">
        <v>0.15</v>
      </c>
      <c r="O109" s="6">
        <v>0.15</v>
      </c>
      <c r="P109" s="6">
        <v>0.23</v>
      </c>
      <c r="Q109" s="6">
        <v>0.28000000000000003</v>
      </c>
      <c r="R109" s="6">
        <v>0.25</v>
      </c>
      <c r="S109" s="6">
        <f t="shared" si="1"/>
        <v>0.26937499999999998</v>
      </c>
    </row>
    <row r="110" spans="1:19" x14ac:dyDescent="0.45">
      <c r="B110" t="s">
        <v>1307</v>
      </c>
      <c r="C110" s="6">
        <v>0.2</v>
      </c>
      <c r="D110" s="6">
        <v>0.22</v>
      </c>
      <c r="E110" s="6">
        <v>0.12</v>
      </c>
      <c r="F110" s="6">
        <v>0.25</v>
      </c>
      <c r="G110" s="6">
        <v>0.21</v>
      </c>
      <c r="H110" s="6">
        <v>0.25</v>
      </c>
      <c r="I110" s="6">
        <v>0.22</v>
      </c>
      <c r="J110" s="6">
        <v>0.35</v>
      </c>
      <c r="K110" s="6">
        <v>0.2</v>
      </c>
      <c r="L110" s="6">
        <v>0.25</v>
      </c>
      <c r="M110" s="6">
        <v>0.42</v>
      </c>
      <c r="N110" s="6">
        <v>0.1</v>
      </c>
      <c r="O110" s="6">
        <v>0.1</v>
      </c>
      <c r="P110" s="6">
        <v>0.26</v>
      </c>
      <c r="Q110" s="6">
        <v>0.22</v>
      </c>
      <c r="R110" s="6">
        <v>0.4</v>
      </c>
      <c r="S110" s="6">
        <f t="shared" si="1"/>
        <v>0.23562500000000003</v>
      </c>
    </row>
    <row r="111" spans="1:19" x14ac:dyDescent="0.45">
      <c r="B111" t="s">
        <v>1308</v>
      </c>
      <c r="C111" s="6">
        <v>0.65</v>
      </c>
      <c r="D111" s="6">
        <v>0.48</v>
      </c>
      <c r="E111" s="6">
        <v>0.4</v>
      </c>
      <c r="F111" s="6">
        <v>0.5</v>
      </c>
      <c r="G111" s="6">
        <v>0.39</v>
      </c>
      <c r="H111" s="6">
        <v>0.55000000000000004</v>
      </c>
      <c r="I111" s="6">
        <v>0.48</v>
      </c>
      <c r="J111" s="6">
        <v>0.7</v>
      </c>
      <c r="K111" s="6">
        <v>0.45</v>
      </c>
      <c r="L111" s="6">
        <v>0.45</v>
      </c>
      <c r="M111" s="6">
        <v>0.62</v>
      </c>
      <c r="N111" s="6">
        <v>0.45</v>
      </c>
      <c r="O111" s="6">
        <v>0.65</v>
      </c>
      <c r="P111" s="6">
        <v>0.41</v>
      </c>
      <c r="Q111" s="6">
        <v>0.6</v>
      </c>
      <c r="R111" s="6">
        <v>0.3</v>
      </c>
      <c r="S111" s="6">
        <f t="shared" si="1"/>
        <v>0.505</v>
      </c>
    </row>
    <row r="112" spans="1:19" x14ac:dyDescent="0.45">
      <c r="B112" t="s">
        <v>1309</v>
      </c>
      <c r="C112" s="6">
        <v>0.55000000000000004</v>
      </c>
      <c r="D112" s="6">
        <v>0.4</v>
      </c>
      <c r="E112" s="6">
        <v>0.3</v>
      </c>
      <c r="F112" s="6">
        <v>0.4</v>
      </c>
      <c r="G112" s="6">
        <v>0.24</v>
      </c>
      <c r="H112" s="6">
        <v>0.45</v>
      </c>
      <c r="I112" s="6">
        <v>0.42</v>
      </c>
      <c r="J112" s="6">
        <v>0.55000000000000004</v>
      </c>
      <c r="K112" s="6">
        <v>0.3</v>
      </c>
      <c r="L112" s="6">
        <v>0.35</v>
      </c>
      <c r="M112" s="6">
        <v>0.44</v>
      </c>
      <c r="N112" s="6">
        <v>0.35</v>
      </c>
      <c r="O112" s="6">
        <v>0.6</v>
      </c>
      <c r="P112" s="6">
        <v>0.33</v>
      </c>
      <c r="Q112" s="6">
        <v>0.55000000000000004</v>
      </c>
      <c r="R112" s="6">
        <v>0.2</v>
      </c>
      <c r="S112" s="6">
        <f t="shared" si="1"/>
        <v>0.40187499999999993</v>
      </c>
    </row>
    <row r="113" spans="1:19" x14ac:dyDescent="0.45">
      <c r="B113" t="s">
        <v>1310</v>
      </c>
      <c r="C113" s="6">
        <v>0.15</v>
      </c>
      <c r="D113" s="6">
        <v>0.18</v>
      </c>
      <c r="E113" s="6">
        <v>0.35</v>
      </c>
      <c r="F113" s="6">
        <v>0.15</v>
      </c>
      <c r="G113" s="6">
        <v>0.34</v>
      </c>
      <c r="H113" s="6">
        <v>0.2</v>
      </c>
      <c r="I113" s="6">
        <v>0.3</v>
      </c>
      <c r="J113" s="6">
        <v>0.25</v>
      </c>
      <c r="K113" s="6">
        <v>0.4</v>
      </c>
      <c r="L113" s="6">
        <v>0.25</v>
      </c>
      <c r="M113" s="6">
        <v>0.18</v>
      </c>
      <c r="N113" s="6">
        <v>0.3</v>
      </c>
      <c r="O113" s="6">
        <v>0.2</v>
      </c>
      <c r="P113" s="6">
        <v>0.36</v>
      </c>
      <c r="Q113" s="6">
        <v>0.08</v>
      </c>
      <c r="R113" s="6">
        <v>0.15</v>
      </c>
      <c r="S113" s="6">
        <f t="shared" si="1"/>
        <v>0.24</v>
      </c>
    </row>
    <row r="114" spans="1:19" x14ac:dyDescent="0.45">
      <c r="B114" t="s">
        <v>1289</v>
      </c>
      <c r="C114" s="6">
        <v>0.02</v>
      </c>
      <c r="D114" s="6">
        <v>0.05</v>
      </c>
      <c r="E114" s="6">
        <v>0.05</v>
      </c>
      <c r="F114" s="6">
        <v>0.05</v>
      </c>
      <c r="G114" s="6">
        <v>0.04</v>
      </c>
      <c r="H114" s="6">
        <v>0.05</v>
      </c>
      <c r="I114" s="6">
        <v>0.08</v>
      </c>
      <c r="J114" s="6">
        <v>0.1</v>
      </c>
      <c r="K114" s="6">
        <v>0.05</v>
      </c>
      <c r="L114" s="6">
        <v>0.1</v>
      </c>
      <c r="M114" s="6">
        <v>0.04</v>
      </c>
      <c r="N114" s="6">
        <v>0.03</v>
      </c>
      <c r="O114" s="6">
        <v>0.02</v>
      </c>
      <c r="P114" s="6">
        <v>7.0000000000000007E-2</v>
      </c>
      <c r="Q114" s="6">
        <v>0.05</v>
      </c>
      <c r="R114" s="6">
        <v>0.05</v>
      </c>
      <c r="S114" s="6">
        <f t="shared" si="1"/>
        <v>5.3125000000000019E-2</v>
      </c>
    </row>
    <row r="115" spans="1:19" x14ac:dyDescent="0.45">
      <c r="A115" t="s">
        <v>47</v>
      </c>
      <c r="B115" t="s">
        <v>1256</v>
      </c>
      <c r="C115" s="6"/>
      <c r="D115" s="6" t="s">
        <v>1256</v>
      </c>
      <c r="E115" s="6" t="s">
        <v>1256</v>
      </c>
      <c r="F115" s="6" t="s">
        <v>1256</v>
      </c>
      <c r="G115" s="6" t="s">
        <v>1256</v>
      </c>
      <c r="H115" s="6" t="s">
        <v>1256</v>
      </c>
      <c r="I115" s="6" t="s">
        <v>1256</v>
      </c>
      <c r="J115" s="6" t="s">
        <v>1256</v>
      </c>
      <c r="K115" s="6" t="s">
        <v>1256</v>
      </c>
      <c r="L115" s="6" t="s">
        <v>1256</v>
      </c>
      <c r="M115" s="6" t="s">
        <v>1256</v>
      </c>
      <c r="N115" s="6" t="s">
        <v>1256</v>
      </c>
      <c r="O115" s="6" t="s">
        <v>1256</v>
      </c>
      <c r="P115" s="6" t="s">
        <v>1256</v>
      </c>
      <c r="Q115" s="6" t="s">
        <v>1256</v>
      </c>
      <c r="R115" s="6" t="s">
        <v>1256</v>
      </c>
      <c r="S115" s="6"/>
    </row>
    <row r="116" spans="1:19" x14ac:dyDescent="0.45">
      <c r="B116" t="s">
        <v>1306</v>
      </c>
      <c r="C116" s="6">
        <v>0.85</v>
      </c>
      <c r="D116" s="6">
        <v>0.52</v>
      </c>
      <c r="E116" s="6">
        <v>0.55000000000000004</v>
      </c>
      <c r="F116" s="6">
        <v>0.6</v>
      </c>
      <c r="G116" s="6">
        <v>0.46</v>
      </c>
      <c r="H116" s="6">
        <v>0.7</v>
      </c>
      <c r="I116" s="6">
        <v>0.68</v>
      </c>
      <c r="J116" s="6">
        <v>0.75</v>
      </c>
      <c r="K116" s="6">
        <v>0.6</v>
      </c>
      <c r="L116" s="6">
        <v>0.7</v>
      </c>
      <c r="M116" s="6">
        <v>0.56000000000000005</v>
      </c>
      <c r="N116" s="6">
        <v>0.75</v>
      </c>
      <c r="O116" s="6">
        <v>0.8</v>
      </c>
      <c r="P116" s="6">
        <v>0.36</v>
      </c>
      <c r="Q116" s="6">
        <v>0.5</v>
      </c>
      <c r="R116" s="6">
        <v>0.2</v>
      </c>
      <c r="S116" s="6">
        <f t="shared" si="1"/>
        <v>0.59874999999999989</v>
      </c>
    </row>
    <row r="117" spans="1:19" x14ac:dyDescent="0.45">
      <c r="B117" t="s">
        <v>1307</v>
      </c>
      <c r="C117" s="6">
        <v>0.75</v>
      </c>
      <c r="D117" s="6">
        <v>0.46</v>
      </c>
      <c r="E117" s="6">
        <v>0.4</v>
      </c>
      <c r="F117" s="6">
        <v>0.5</v>
      </c>
      <c r="G117" s="6">
        <v>0.41</v>
      </c>
      <c r="H117" s="6">
        <v>0.55000000000000004</v>
      </c>
      <c r="I117" s="6">
        <v>0.6</v>
      </c>
      <c r="J117" s="6">
        <v>0.7</v>
      </c>
      <c r="K117" s="6">
        <v>0.55000000000000004</v>
      </c>
      <c r="L117" s="6">
        <v>0.65</v>
      </c>
      <c r="M117" s="6">
        <v>0.52</v>
      </c>
      <c r="N117" s="6">
        <v>0.55000000000000004</v>
      </c>
      <c r="O117" s="6">
        <v>0.65</v>
      </c>
      <c r="P117" s="6">
        <v>0.4</v>
      </c>
      <c r="Q117" s="6">
        <v>0.6</v>
      </c>
      <c r="R117" s="6">
        <v>0.5</v>
      </c>
      <c r="S117" s="6">
        <f t="shared" si="1"/>
        <v>0.54937500000000006</v>
      </c>
    </row>
    <row r="118" spans="1:19" x14ac:dyDescent="0.45">
      <c r="B118" t="s">
        <v>1308</v>
      </c>
      <c r="C118" s="6">
        <v>0.6</v>
      </c>
      <c r="D118" s="6">
        <v>0.38</v>
      </c>
      <c r="E118" s="6">
        <v>0.35</v>
      </c>
      <c r="F118" s="6">
        <v>0.4</v>
      </c>
      <c r="G118" s="6">
        <v>0.37</v>
      </c>
      <c r="H118" s="6">
        <v>0.6</v>
      </c>
      <c r="I118" s="6">
        <v>0.55000000000000004</v>
      </c>
      <c r="J118" s="6">
        <v>0.65</v>
      </c>
      <c r="K118" s="6">
        <v>0.5</v>
      </c>
      <c r="L118" s="6">
        <v>0.6</v>
      </c>
      <c r="M118" s="6">
        <v>0.54</v>
      </c>
      <c r="N118" s="6">
        <v>0.4</v>
      </c>
      <c r="O118" s="6">
        <v>0.55000000000000004</v>
      </c>
      <c r="P118" s="6">
        <v>0.34</v>
      </c>
      <c r="Q118" s="6">
        <v>0.42</v>
      </c>
      <c r="R118" s="6">
        <v>0.35</v>
      </c>
      <c r="S118" s="6">
        <f t="shared" si="1"/>
        <v>0.47499999999999998</v>
      </c>
    </row>
    <row r="119" spans="1:19" x14ac:dyDescent="0.45">
      <c r="B119" t="s">
        <v>1309</v>
      </c>
      <c r="C119" s="6">
        <v>0.25</v>
      </c>
      <c r="D119" s="6">
        <v>0.28000000000000003</v>
      </c>
      <c r="E119" s="6">
        <v>0.15</v>
      </c>
      <c r="F119" s="6">
        <v>0.3</v>
      </c>
      <c r="G119" s="6">
        <v>0.16</v>
      </c>
      <c r="H119" s="6">
        <v>0.3</v>
      </c>
      <c r="I119" s="6">
        <v>0.25</v>
      </c>
      <c r="J119" s="6">
        <v>0.6</v>
      </c>
      <c r="K119" s="6">
        <v>0.25</v>
      </c>
      <c r="L119" s="6">
        <v>0.4</v>
      </c>
      <c r="M119" s="6">
        <v>0.38</v>
      </c>
      <c r="N119" s="6">
        <v>0.2</v>
      </c>
      <c r="O119" s="6">
        <v>0.25</v>
      </c>
      <c r="P119" s="6">
        <v>0.22</v>
      </c>
      <c r="Q119" s="6">
        <v>0.38</v>
      </c>
      <c r="R119" s="6">
        <v>0.25</v>
      </c>
      <c r="S119" s="6">
        <f t="shared" si="1"/>
        <v>0.28875000000000001</v>
      </c>
    </row>
    <row r="120" spans="1:19" x14ac:dyDescent="0.45">
      <c r="B120" t="s">
        <v>1310</v>
      </c>
      <c r="C120" s="6">
        <v>0.05</v>
      </c>
      <c r="D120" s="6">
        <v>0.1</v>
      </c>
      <c r="E120" s="6">
        <v>0.18</v>
      </c>
      <c r="F120" s="6">
        <v>0.1</v>
      </c>
      <c r="G120" s="6">
        <v>0.27</v>
      </c>
      <c r="H120" s="6">
        <v>0.1</v>
      </c>
      <c r="I120" s="6">
        <v>0.15</v>
      </c>
      <c r="J120" s="6">
        <v>0.1</v>
      </c>
      <c r="K120" s="6">
        <v>0.15</v>
      </c>
      <c r="L120" s="6">
        <v>0.1</v>
      </c>
      <c r="M120" s="6">
        <v>0.12</v>
      </c>
      <c r="N120" s="6">
        <v>0.15</v>
      </c>
      <c r="O120" s="6">
        <v>0.1</v>
      </c>
      <c r="P120" s="6">
        <v>0.33</v>
      </c>
      <c r="Q120" s="6">
        <v>0.06</v>
      </c>
      <c r="R120" s="6">
        <v>0.1</v>
      </c>
      <c r="S120" s="6">
        <f t="shared" si="1"/>
        <v>0.13500000000000001</v>
      </c>
    </row>
    <row r="121" spans="1:19" x14ac:dyDescent="0.45">
      <c r="B121" t="s">
        <v>1289</v>
      </c>
      <c r="C121" s="6">
        <v>0.02</v>
      </c>
      <c r="D121" s="6">
        <v>0.05</v>
      </c>
      <c r="E121" s="6">
        <v>0.06</v>
      </c>
      <c r="F121" s="6">
        <v>0.05</v>
      </c>
      <c r="G121" s="6">
        <v>0.03</v>
      </c>
      <c r="H121" s="6">
        <v>0.04</v>
      </c>
      <c r="I121" s="6">
        <v>0.05</v>
      </c>
      <c r="J121" s="6">
        <v>0.05</v>
      </c>
      <c r="K121" s="6">
        <v>0.05</v>
      </c>
      <c r="L121" s="6">
        <v>0.08</v>
      </c>
      <c r="M121" s="6">
        <v>0.05</v>
      </c>
      <c r="N121" s="6">
        <v>0.02</v>
      </c>
      <c r="O121" s="6">
        <v>0.02</v>
      </c>
      <c r="P121" s="6">
        <v>0.06</v>
      </c>
      <c r="Q121" s="6">
        <v>7.0000000000000007E-2</v>
      </c>
      <c r="R121" s="6">
        <v>0.05</v>
      </c>
      <c r="S121" s="6">
        <f t="shared" si="1"/>
        <v>4.6875000000000014E-2</v>
      </c>
    </row>
    <row r="122" spans="1:19" x14ac:dyDescent="0.45">
      <c r="A122" t="s">
        <v>53</v>
      </c>
      <c r="B122" t="s">
        <v>1256</v>
      </c>
      <c r="C122" s="6"/>
      <c r="D122" s="6" t="s">
        <v>1256</v>
      </c>
      <c r="E122" s="6" t="s">
        <v>1256</v>
      </c>
      <c r="F122" s="6" t="s">
        <v>1256</v>
      </c>
      <c r="G122" s="6" t="s">
        <v>1256</v>
      </c>
      <c r="H122" s="6" t="s">
        <v>1256</v>
      </c>
      <c r="I122" s="6" t="s">
        <v>1256</v>
      </c>
      <c r="J122" s="6" t="s">
        <v>1256</v>
      </c>
      <c r="K122" s="6" t="s">
        <v>1256</v>
      </c>
      <c r="L122" s="6" t="s">
        <v>1256</v>
      </c>
      <c r="M122" s="6" t="s">
        <v>1256</v>
      </c>
      <c r="N122" s="6" t="s">
        <v>1256</v>
      </c>
      <c r="O122" s="6" t="s">
        <v>1256</v>
      </c>
      <c r="P122" s="6" t="s">
        <v>1256</v>
      </c>
      <c r="Q122" s="6" t="s">
        <v>1256</v>
      </c>
      <c r="R122" s="6" t="s">
        <v>1256</v>
      </c>
      <c r="S122" s="6"/>
    </row>
    <row r="123" spans="1:19" x14ac:dyDescent="0.45">
      <c r="B123" t="s">
        <v>1306</v>
      </c>
      <c r="C123" s="6">
        <v>0.3</v>
      </c>
      <c r="D123" s="6">
        <v>0.3</v>
      </c>
      <c r="E123" s="6">
        <v>0.2</v>
      </c>
      <c r="F123" s="6">
        <v>0.2</v>
      </c>
      <c r="G123" s="6">
        <v>0.15</v>
      </c>
      <c r="H123" s="6">
        <v>0.3</v>
      </c>
      <c r="I123" s="6">
        <v>0.3</v>
      </c>
      <c r="J123" s="6">
        <v>0.3</v>
      </c>
      <c r="K123" s="6">
        <v>0.2</v>
      </c>
      <c r="L123" s="6">
        <v>0.25</v>
      </c>
      <c r="M123" s="6">
        <v>0.28000000000000003</v>
      </c>
      <c r="N123" s="6">
        <v>0.2</v>
      </c>
      <c r="O123" s="6">
        <v>0.3</v>
      </c>
      <c r="P123" s="6">
        <v>0.2</v>
      </c>
      <c r="Q123" s="6">
        <v>0.22</v>
      </c>
      <c r="R123" s="6">
        <v>0.15</v>
      </c>
      <c r="S123" s="6">
        <f t="shared" si="1"/>
        <v>0.24062500000000003</v>
      </c>
    </row>
    <row r="124" spans="1:19" x14ac:dyDescent="0.45">
      <c r="B124" t="s">
        <v>1307</v>
      </c>
      <c r="C124" s="6">
        <v>0.2</v>
      </c>
      <c r="D124" s="6">
        <v>0.26</v>
      </c>
      <c r="E124" s="6">
        <v>0.15</v>
      </c>
      <c r="F124" s="6">
        <v>0.15</v>
      </c>
      <c r="G124" s="6">
        <v>0.14000000000000001</v>
      </c>
      <c r="H124" s="6">
        <v>0.2</v>
      </c>
      <c r="I124" s="6">
        <v>0.25</v>
      </c>
      <c r="J124" s="6">
        <v>0.25</v>
      </c>
      <c r="K124" s="6">
        <v>0.15</v>
      </c>
      <c r="L124" s="6">
        <v>0.2</v>
      </c>
      <c r="M124" s="6">
        <v>0.26</v>
      </c>
      <c r="N124" s="6">
        <v>0.15</v>
      </c>
      <c r="O124" s="6">
        <v>0.2</v>
      </c>
      <c r="P124" s="6">
        <v>0.22</v>
      </c>
      <c r="Q124" s="6">
        <v>0.18</v>
      </c>
      <c r="R124" s="6">
        <v>0.2</v>
      </c>
      <c r="S124" s="6">
        <f t="shared" si="1"/>
        <v>0.19750000000000004</v>
      </c>
    </row>
    <row r="125" spans="1:19" x14ac:dyDescent="0.45">
      <c r="B125" t="s">
        <v>1308</v>
      </c>
      <c r="C125" s="6">
        <v>0.5</v>
      </c>
      <c r="D125" s="6">
        <v>0.34</v>
      </c>
      <c r="E125" s="6">
        <v>0.28000000000000003</v>
      </c>
      <c r="F125" s="6">
        <v>0.35</v>
      </c>
      <c r="G125" s="6">
        <v>0.28000000000000003</v>
      </c>
      <c r="H125" s="6">
        <v>0.35</v>
      </c>
      <c r="I125" s="6">
        <v>0.35</v>
      </c>
      <c r="J125" s="6">
        <v>0.5</v>
      </c>
      <c r="K125" s="6">
        <v>0.3</v>
      </c>
      <c r="L125" s="6">
        <v>0.35</v>
      </c>
      <c r="M125" s="6">
        <v>0.32</v>
      </c>
      <c r="N125" s="6">
        <v>0.25</v>
      </c>
      <c r="O125" s="6">
        <v>0.45</v>
      </c>
      <c r="P125" s="6">
        <v>0.28000000000000003</v>
      </c>
      <c r="Q125" s="6">
        <v>0.3</v>
      </c>
      <c r="R125" s="6">
        <v>0.25</v>
      </c>
      <c r="S125" s="6">
        <f t="shared" si="1"/>
        <v>0.34062500000000001</v>
      </c>
    </row>
    <row r="126" spans="1:19" x14ac:dyDescent="0.45">
      <c r="B126" t="s">
        <v>1309</v>
      </c>
      <c r="C126" s="6">
        <v>0.4</v>
      </c>
      <c r="D126" s="6">
        <v>0.3</v>
      </c>
      <c r="E126" s="6">
        <v>0.22</v>
      </c>
      <c r="F126" s="6">
        <v>0.3</v>
      </c>
      <c r="G126" s="6">
        <v>0.19</v>
      </c>
      <c r="H126" s="6">
        <v>0.3</v>
      </c>
      <c r="I126" s="6">
        <v>0.28000000000000003</v>
      </c>
      <c r="J126" s="6">
        <v>0.4</v>
      </c>
      <c r="K126" s="6">
        <v>0.2</v>
      </c>
      <c r="L126" s="6">
        <v>0.25</v>
      </c>
      <c r="M126" s="6">
        <v>0.22</v>
      </c>
      <c r="N126" s="6">
        <v>0.2</v>
      </c>
      <c r="O126" s="6">
        <v>0.35</v>
      </c>
      <c r="P126" s="6">
        <v>0.2</v>
      </c>
      <c r="Q126" s="6">
        <v>0.28000000000000003</v>
      </c>
      <c r="R126" s="6">
        <v>0.15</v>
      </c>
      <c r="S126" s="6">
        <f t="shared" si="1"/>
        <v>0.26500000000000007</v>
      </c>
    </row>
    <row r="127" spans="1:19" x14ac:dyDescent="0.45">
      <c r="B127" t="s">
        <v>1310</v>
      </c>
      <c r="C127" s="6">
        <v>0.25</v>
      </c>
      <c r="D127" s="6">
        <v>0.26</v>
      </c>
      <c r="E127" s="6">
        <v>0.4</v>
      </c>
      <c r="F127" s="6">
        <v>0.25</v>
      </c>
      <c r="G127" s="6">
        <v>0.43</v>
      </c>
      <c r="H127" s="6">
        <v>0.35</v>
      </c>
      <c r="I127" s="6">
        <v>0.38</v>
      </c>
      <c r="J127" s="6">
        <v>0.4</v>
      </c>
      <c r="K127" s="6">
        <v>0.5</v>
      </c>
      <c r="L127" s="6">
        <v>0.35</v>
      </c>
      <c r="M127" s="6">
        <v>0.42</v>
      </c>
      <c r="N127" s="6">
        <v>0.45</v>
      </c>
      <c r="O127" s="6">
        <v>0.25</v>
      </c>
      <c r="P127" s="6">
        <v>0.48</v>
      </c>
      <c r="Q127" s="6">
        <v>0.35</v>
      </c>
      <c r="R127" s="6">
        <v>0.25</v>
      </c>
      <c r="S127" s="6">
        <f t="shared" si="1"/>
        <v>0.36062499999999997</v>
      </c>
    </row>
    <row r="128" spans="1:19" x14ac:dyDescent="0.45">
      <c r="B128" t="s">
        <v>1289</v>
      </c>
      <c r="C128" s="6">
        <v>0.05</v>
      </c>
      <c r="D128" s="6">
        <v>0.08</v>
      </c>
      <c r="E128" s="6">
        <v>0.08</v>
      </c>
      <c r="F128" s="6">
        <v>0.1</v>
      </c>
      <c r="G128" s="6">
        <v>0.06</v>
      </c>
      <c r="H128" s="6">
        <v>0.08</v>
      </c>
      <c r="I128" s="6">
        <v>0.12</v>
      </c>
      <c r="J128" s="6">
        <v>0.15</v>
      </c>
      <c r="K128" s="6">
        <v>0.1</v>
      </c>
      <c r="L128" s="6">
        <v>0.15</v>
      </c>
      <c r="M128" s="6">
        <v>0.08</v>
      </c>
      <c r="N128" s="6">
        <v>0.06</v>
      </c>
      <c r="O128" s="6">
        <v>0.05</v>
      </c>
      <c r="P128" s="6">
        <v>0.1</v>
      </c>
      <c r="Q128" s="6">
        <v>7.0000000000000007E-2</v>
      </c>
      <c r="R128" s="6">
        <v>0.15</v>
      </c>
      <c r="S128" s="6">
        <f t="shared" si="1"/>
        <v>9.2500000000000013E-2</v>
      </c>
    </row>
    <row r="129" spans="1:19" x14ac:dyDescent="0.45">
      <c r="A129" t="s">
        <v>112</v>
      </c>
      <c r="B129" t="s">
        <v>1256</v>
      </c>
      <c r="C129" s="6"/>
      <c r="D129" s="6" t="s">
        <v>1256</v>
      </c>
      <c r="E129" s="6" t="s">
        <v>1256</v>
      </c>
      <c r="F129" s="6" t="s">
        <v>1256</v>
      </c>
      <c r="G129" s="6" t="s">
        <v>1256</v>
      </c>
      <c r="H129" s="6" t="s">
        <v>1256</v>
      </c>
      <c r="I129" s="6" t="s">
        <v>1256</v>
      </c>
      <c r="J129" s="6" t="s">
        <v>1256</v>
      </c>
      <c r="K129" s="6" t="s">
        <v>1256</v>
      </c>
      <c r="L129" s="6" t="s">
        <v>1256</v>
      </c>
      <c r="M129" s="6" t="s">
        <v>1256</v>
      </c>
      <c r="N129" s="6" t="s">
        <v>1256</v>
      </c>
      <c r="O129" s="6" t="s">
        <v>1256</v>
      </c>
      <c r="P129" s="6" t="s">
        <v>1256</v>
      </c>
      <c r="Q129" s="6" t="s">
        <v>1256</v>
      </c>
      <c r="R129" s="6" t="s">
        <v>1256</v>
      </c>
      <c r="S129" s="6"/>
    </row>
    <row r="130" spans="1:19" x14ac:dyDescent="0.45">
      <c r="A130" t="s">
        <v>41</v>
      </c>
      <c r="B130" t="s">
        <v>1256</v>
      </c>
      <c r="C130" s="6"/>
      <c r="D130" s="6" t="s">
        <v>1256</v>
      </c>
      <c r="E130" s="6" t="s">
        <v>1256</v>
      </c>
      <c r="F130" s="6" t="s">
        <v>1256</v>
      </c>
      <c r="G130" s="6" t="s">
        <v>1256</v>
      </c>
      <c r="H130" s="6" t="s">
        <v>1256</v>
      </c>
      <c r="I130" s="6" t="s">
        <v>1256</v>
      </c>
      <c r="J130" s="6" t="s">
        <v>1256</v>
      </c>
      <c r="K130" s="6" t="s">
        <v>1256</v>
      </c>
      <c r="L130" s="6" t="s">
        <v>1256</v>
      </c>
      <c r="M130" s="6" t="s">
        <v>1256</v>
      </c>
      <c r="N130" s="6" t="s">
        <v>1256</v>
      </c>
      <c r="O130" s="6" t="s">
        <v>1256</v>
      </c>
      <c r="P130" s="6" t="s">
        <v>1256</v>
      </c>
      <c r="Q130" s="6" t="s">
        <v>1256</v>
      </c>
      <c r="R130" s="6" t="s">
        <v>1256</v>
      </c>
      <c r="S130" s="6"/>
    </row>
    <row r="131" spans="1:19" x14ac:dyDescent="0.45">
      <c r="B131" t="s">
        <v>1311</v>
      </c>
      <c r="C131" s="6">
        <v>0.2</v>
      </c>
      <c r="D131" s="6">
        <v>0.28000000000000003</v>
      </c>
      <c r="E131" s="6">
        <v>0.25</v>
      </c>
      <c r="F131" s="6">
        <v>0.3</v>
      </c>
      <c r="G131" s="6">
        <v>0.26</v>
      </c>
      <c r="H131" s="6">
        <v>0.25</v>
      </c>
      <c r="I131" s="6">
        <v>0.3</v>
      </c>
      <c r="J131" s="6">
        <v>0.45</v>
      </c>
      <c r="K131" s="6">
        <v>0.2</v>
      </c>
      <c r="L131" s="6">
        <v>0.25</v>
      </c>
      <c r="M131" s="6">
        <v>0.36</v>
      </c>
      <c r="N131" s="6">
        <v>0.2</v>
      </c>
      <c r="O131" s="6">
        <v>0.2</v>
      </c>
      <c r="P131" s="6">
        <v>0.26</v>
      </c>
      <c r="Q131" s="6">
        <v>0.45</v>
      </c>
      <c r="R131" s="6">
        <v>0.4</v>
      </c>
      <c r="S131" s="6">
        <f t="shared" si="1"/>
        <v>0.28812500000000008</v>
      </c>
    </row>
    <row r="132" spans="1:19" x14ac:dyDescent="0.45">
      <c r="B132" t="s">
        <v>1312</v>
      </c>
      <c r="C132" s="6">
        <v>0.55000000000000004</v>
      </c>
      <c r="D132" s="6">
        <v>0.48</v>
      </c>
      <c r="E132" s="6">
        <v>0.45</v>
      </c>
      <c r="F132" s="6">
        <v>0.5</v>
      </c>
      <c r="G132" s="6">
        <v>0.41</v>
      </c>
      <c r="H132" s="6">
        <v>0.45</v>
      </c>
      <c r="I132" s="6">
        <v>0.45</v>
      </c>
      <c r="J132" s="6">
        <v>0.6</v>
      </c>
      <c r="K132" s="6">
        <v>0.35</v>
      </c>
      <c r="L132" s="6">
        <v>0.4</v>
      </c>
      <c r="M132" s="6">
        <v>0.57999999999999996</v>
      </c>
      <c r="N132" s="6">
        <v>0.55000000000000004</v>
      </c>
      <c r="O132" s="6">
        <v>0.6</v>
      </c>
      <c r="P132" s="6">
        <v>0.38</v>
      </c>
      <c r="Q132" s="6">
        <v>0.6</v>
      </c>
      <c r="R132" s="6">
        <v>0.6</v>
      </c>
      <c r="S132" s="6">
        <f t="shared" si="1"/>
        <v>0.49687499999999996</v>
      </c>
    </row>
    <row r="133" spans="1:19" x14ac:dyDescent="0.45">
      <c r="B133" t="s">
        <v>1313</v>
      </c>
      <c r="C133" s="6">
        <v>0.45</v>
      </c>
      <c r="D133" s="6">
        <v>0.57999999999999996</v>
      </c>
      <c r="E133" s="6">
        <v>0.5</v>
      </c>
      <c r="F133" s="6">
        <v>0.45</v>
      </c>
      <c r="G133" s="6">
        <v>0.44</v>
      </c>
      <c r="H133" s="6">
        <v>0.6</v>
      </c>
      <c r="I133" s="6">
        <v>0.57999999999999996</v>
      </c>
      <c r="J133" s="6">
        <v>0.7</v>
      </c>
      <c r="K133" s="6">
        <v>0.5</v>
      </c>
      <c r="L133" s="6">
        <v>0.5</v>
      </c>
      <c r="M133" s="6">
        <v>0.64</v>
      </c>
      <c r="N133" s="6">
        <v>0.4</v>
      </c>
      <c r="O133" s="6">
        <v>0.7</v>
      </c>
      <c r="P133" s="6">
        <v>0.42</v>
      </c>
      <c r="Q133" s="6">
        <v>0.7</v>
      </c>
      <c r="R133" s="6">
        <v>0.55000000000000004</v>
      </c>
      <c r="S133" s="6">
        <f t="shared" ref="S133:S196" si="2">AVERAGE(C133:R133)</f>
        <v>0.54437500000000005</v>
      </c>
    </row>
    <row r="134" spans="1:19" x14ac:dyDescent="0.45">
      <c r="B134" t="s">
        <v>1314</v>
      </c>
      <c r="C134" s="6">
        <v>0.75</v>
      </c>
      <c r="D134" s="6">
        <v>0.54</v>
      </c>
      <c r="E134" s="6">
        <v>0.55000000000000004</v>
      </c>
      <c r="F134" s="6">
        <v>0.6</v>
      </c>
      <c r="G134" s="6">
        <v>0.57999999999999996</v>
      </c>
      <c r="H134" s="6">
        <v>0.55000000000000004</v>
      </c>
      <c r="I134" s="6">
        <v>0.65</v>
      </c>
      <c r="J134" s="6">
        <v>0.8</v>
      </c>
      <c r="K134" s="6">
        <v>0.6</v>
      </c>
      <c r="L134" s="6">
        <v>0.65</v>
      </c>
      <c r="M134" s="6">
        <v>0.72</v>
      </c>
      <c r="N134" s="6">
        <v>0.65</v>
      </c>
      <c r="O134" s="6">
        <v>0.55000000000000004</v>
      </c>
      <c r="P134" s="6">
        <v>0.56000000000000005</v>
      </c>
      <c r="Q134" s="6">
        <v>0.66</v>
      </c>
      <c r="R134" s="6">
        <v>0.5</v>
      </c>
      <c r="S134" s="6">
        <f t="shared" si="2"/>
        <v>0.61937500000000012</v>
      </c>
    </row>
    <row r="135" spans="1:19" x14ac:dyDescent="0.45">
      <c r="B135" t="s">
        <v>1315</v>
      </c>
      <c r="C135" s="6">
        <v>0.4</v>
      </c>
      <c r="D135" s="6">
        <v>0.42</v>
      </c>
      <c r="E135" s="6">
        <v>0.4</v>
      </c>
      <c r="F135" s="6">
        <v>0.55000000000000004</v>
      </c>
      <c r="G135" s="6">
        <v>0.39</v>
      </c>
      <c r="H135" s="6">
        <v>0.5</v>
      </c>
      <c r="I135" s="6">
        <v>0.4</v>
      </c>
      <c r="J135" s="6">
        <v>0.75</v>
      </c>
      <c r="K135" s="6">
        <v>0.45</v>
      </c>
      <c r="L135" s="6">
        <v>0.6</v>
      </c>
      <c r="M135" s="6">
        <v>0.52</v>
      </c>
      <c r="N135" s="6">
        <v>0.45</v>
      </c>
      <c r="O135" s="6">
        <v>0.45</v>
      </c>
      <c r="P135" s="6">
        <v>0.44</v>
      </c>
      <c r="Q135" s="6">
        <v>0.52</v>
      </c>
      <c r="R135" s="6">
        <v>0.45</v>
      </c>
      <c r="S135" s="6">
        <f t="shared" si="2"/>
        <v>0.48062500000000002</v>
      </c>
    </row>
    <row r="136" spans="1:19" x14ac:dyDescent="0.45">
      <c r="B136" t="s">
        <v>1289</v>
      </c>
      <c r="C136" s="6">
        <v>0.02</v>
      </c>
      <c r="D136" s="6">
        <v>0.05</v>
      </c>
      <c r="E136" s="6">
        <v>0.06</v>
      </c>
      <c r="F136" s="6">
        <v>0.05</v>
      </c>
      <c r="G136" s="6">
        <v>0.04</v>
      </c>
      <c r="H136" s="6">
        <v>0.05</v>
      </c>
      <c r="I136" s="6">
        <v>0.08</v>
      </c>
      <c r="J136" s="6">
        <v>0.15</v>
      </c>
      <c r="K136" s="6">
        <v>0.1</v>
      </c>
      <c r="L136" s="6">
        <v>0.1</v>
      </c>
      <c r="M136" s="6">
        <v>0.04</v>
      </c>
      <c r="N136" s="6">
        <v>0.02</v>
      </c>
      <c r="O136" s="6">
        <v>0.02</v>
      </c>
      <c r="P136" s="6">
        <v>0.08</v>
      </c>
      <c r="Q136" s="6">
        <v>0.05</v>
      </c>
      <c r="R136" s="6">
        <v>0.15</v>
      </c>
      <c r="S136" s="6">
        <f t="shared" si="2"/>
        <v>6.6250000000000003E-2</v>
      </c>
    </row>
    <row r="137" spans="1:19" x14ac:dyDescent="0.45">
      <c r="A137" t="s">
        <v>47</v>
      </c>
      <c r="B137" t="s">
        <v>1256</v>
      </c>
      <c r="C137" s="6"/>
      <c r="D137" s="6" t="s">
        <v>1256</v>
      </c>
      <c r="E137" s="6" t="s">
        <v>1256</v>
      </c>
      <c r="F137" s="6" t="s">
        <v>1256</v>
      </c>
      <c r="G137" s="6" t="s">
        <v>1256</v>
      </c>
      <c r="H137" s="6" t="s">
        <v>1256</v>
      </c>
      <c r="I137" s="6" t="s">
        <v>1256</v>
      </c>
      <c r="J137" s="6" t="s">
        <v>1256</v>
      </c>
      <c r="K137" s="6" t="s">
        <v>1256</v>
      </c>
      <c r="L137" s="6" t="s">
        <v>1256</v>
      </c>
      <c r="M137" s="6" t="s">
        <v>1256</v>
      </c>
      <c r="N137" s="6" t="s">
        <v>1256</v>
      </c>
      <c r="O137" s="6" t="s">
        <v>1256</v>
      </c>
      <c r="P137" s="6" t="s">
        <v>1256</v>
      </c>
      <c r="Q137" s="6" t="s">
        <v>1256</v>
      </c>
      <c r="R137" s="6" t="s">
        <v>1256</v>
      </c>
      <c r="S137" s="6"/>
    </row>
    <row r="138" spans="1:19" x14ac:dyDescent="0.45">
      <c r="B138" t="s">
        <v>1311</v>
      </c>
      <c r="C138" s="6">
        <v>0.25</v>
      </c>
      <c r="D138" s="6">
        <v>0.26</v>
      </c>
      <c r="E138" s="6">
        <v>0.2</v>
      </c>
      <c r="F138" s="6">
        <v>0.35</v>
      </c>
      <c r="G138" s="6">
        <v>0.31</v>
      </c>
      <c r="H138" s="6">
        <v>0.2</v>
      </c>
      <c r="I138" s="6">
        <v>0.35</v>
      </c>
      <c r="J138" s="6">
        <v>0.5</v>
      </c>
      <c r="K138" s="6">
        <v>0.25</v>
      </c>
      <c r="L138" s="6">
        <v>0.3</v>
      </c>
      <c r="M138" s="6">
        <v>0.32</v>
      </c>
      <c r="N138" s="6">
        <v>0.25</v>
      </c>
      <c r="O138" s="6">
        <v>0.35</v>
      </c>
      <c r="P138" s="6">
        <v>0.24</v>
      </c>
      <c r="Q138" s="6">
        <v>0.4</v>
      </c>
      <c r="R138" s="6">
        <v>0.3</v>
      </c>
      <c r="S138" s="6">
        <f t="shared" si="2"/>
        <v>0.301875</v>
      </c>
    </row>
    <row r="139" spans="1:19" x14ac:dyDescent="0.45">
      <c r="B139" t="s">
        <v>1312</v>
      </c>
      <c r="C139" s="6">
        <v>0.7</v>
      </c>
      <c r="D139" s="6">
        <v>0.54</v>
      </c>
      <c r="E139" s="6">
        <v>0.55000000000000004</v>
      </c>
      <c r="F139" s="6">
        <v>0.55000000000000004</v>
      </c>
      <c r="G139" s="6">
        <v>0.49</v>
      </c>
      <c r="H139" s="6">
        <v>0.55000000000000004</v>
      </c>
      <c r="I139" s="6">
        <v>0.57999999999999996</v>
      </c>
      <c r="J139" s="6">
        <v>0.65</v>
      </c>
      <c r="K139" s="6">
        <v>0.45</v>
      </c>
      <c r="L139" s="6">
        <v>0.55000000000000004</v>
      </c>
      <c r="M139" s="6">
        <v>0.62</v>
      </c>
      <c r="N139" s="6">
        <v>0.7</v>
      </c>
      <c r="O139" s="6">
        <v>0.75</v>
      </c>
      <c r="P139" s="6">
        <v>0.46</v>
      </c>
      <c r="Q139" s="6">
        <v>0.57999999999999996</v>
      </c>
      <c r="R139" s="6">
        <v>0.55000000000000004</v>
      </c>
      <c r="S139" s="6">
        <f t="shared" si="2"/>
        <v>0.57937500000000008</v>
      </c>
    </row>
    <row r="140" spans="1:19" x14ac:dyDescent="0.45">
      <c r="B140" t="s">
        <v>1313</v>
      </c>
      <c r="C140" s="6">
        <v>0.5</v>
      </c>
      <c r="D140" s="6">
        <v>0.56000000000000005</v>
      </c>
      <c r="E140" s="6">
        <v>0.45</v>
      </c>
      <c r="F140" s="6">
        <v>0.4</v>
      </c>
      <c r="G140" s="6">
        <v>0.46</v>
      </c>
      <c r="H140" s="6">
        <v>0.55000000000000004</v>
      </c>
      <c r="I140" s="6">
        <v>0.5</v>
      </c>
      <c r="J140" s="6">
        <v>0.75</v>
      </c>
      <c r="K140" s="6">
        <v>0.55000000000000004</v>
      </c>
      <c r="L140" s="6">
        <v>0.55000000000000004</v>
      </c>
      <c r="M140" s="6">
        <v>0.68</v>
      </c>
      <c r="N140" s="6">
        <v>0.45</v>
      </c>
      <c r="O140" s="6">
        <v>0.8</v>
      </c>
      <c r="P140" s="6">
        <v>0.4</v>
      </c>
      <c r="Q140" s="6">
        <v>0.68</v>
      </c>
      <c r="R140" s="6">
        <v>0.5</v>
      </c>
      <c r="S140" s="6">
        <f t="shared" si="2"/>
        <v>0.54874999999999996</v>
      </c>
    </row>
    <row r="141" spans="1:19" x14ac:dyDescent="0.45">
      <c r="B141" t="s">
        <v>1314</v>
      </c>
      <c r="C141" s="6">
        <v>0.85</v>
      </c>
      <c r="D141" s="6">
        <v>0.6</v>
      </c>
      <c r="E141" s="6">
        <v>0.5</v>
      </c>
      <c r="F141" s="6">
        <v>0.5</v>
      </c>
      <c r="G141" s="6">
        <v>0.62</v>
      </c>
      <c r="H141" s="6">
        <v>0.65</v>
      </c>
      <c r="I141" s="6">
        <v>0.7</v>
      </c>
      <c r="J141" s="6">
        <v>0.85</v>
      </c>
      <c r="K141" s="6">
        <v>0.7</v>
      </c>
      <c r="L141" s="6">
        <v>0.7</v>
      </c>
      <c r="M141" s="6">
        <v>0.76</v>
      </c>
      <c r="N141" s="6">
        <v>0.75</v>
      </c>
      <c r="O141" s="6">
        <v>0.65</v>
      </c>
      <c r="P141" s="6">
        <v>0.6</v>
      </c>
      <c r="Q141" s="6">
        <v>0.62</v>
      </c>
      <c r="R141" s="6">
        <v>0.4</v>
      </c>
      <c r="S141" s="6">
        <f t="shared" si="2"/>
        <v>0.65312499999999996</v>
      </c>
    </row>
    <row r="142" spans="1:19" x14ac:dyDescent="0.45">
      <c r="B142" t="s">
        <v>1315</v>
      </c>
      <c r="C142" s="6">
        <v>0.6</v>
      </c>
      <c r="D142" s="6">
        <v>0.46</v>
      </c>
      <c r="E142" s="6">
        <v>0.48</v>
      </c>
      <c r="F142" s="6">
        <v>0.45</v>
      </c>
      <c r="G142" s="6">
        <v>0.43</v>
      </c>
      <c r="H142" s="6">
        <v>0.45</v>
      </c>
      <c r="I142" s="6">
        <v>0.52</v>
      </c>
      <c r="J142" s="6">
        <v>0.8</v>
      </c>
      <c r="K142" s="6">
        <v>0.4</v>
      </c>
      <c r="L142" s="6">
        <v>0.65</v>
      </c>
      <c r="M142" s="6">
        <v>0.54</v>
      </c>
      <c r="N142" s="6">
        <v>0.5</v>
      </c>
      <c r="O142" s="6">
        <v>0.7</v>
      </c>
      <c r="P142" s="6">
        <v>0.48</v>
      </c>
      <c r="Q142" s="6">
        <v>0.5</v>
      </c>
      <c r="R142" s="6">
        <v>0.4</v>
      </c>
      <c r="S142" s="6">
        <f t="shared" si="2"/>
        <v>0.52250000000000008</v>
      </c>
    </row>
    <row r="143" spans="1:19" x14ac:dyDescent="0.45">
      <c r="B143" t="s">
        <v>1289</v>
      </c>
      <c r="C143" s="6">
        <v>0.02</v>
      </c>
      <c r="D143" s="6">
        <v>0.05</v>
      </c>
      <c r="E143" s="6">
        <v>0.05</v>
      </c>
      <c r="F143" s="6">
        <v>0.05</v>
      </c>
      <c r="G143" s="6">
        <v>0.03</v>
      </c>
      <c r="H143" s="6">
        <v>0.04</v>
      </c>
      <c r="I143" s="6">
        <v>0.05</v>
      </c>
      <c r="J143" s="6">
        <v>0.1</v>
      </c>
      <c r="K143" s="6">
        <v>0.08</v>
      </c>
      <c r="L143" s="6">
        <v>0.08</v>
      </c>
      <c r="M143" s="6">
        <v>0.05</v>
      </c>
      <c r="N143" s="6">
        <v>0.02</v>
      </c>
      <c r="O143" s="6">
        <v>0.02</v>
      </c>
      <c r="P143" s="6">
        <v>7.0000000000000007E-2</v>
      </c>
      <c r="Q143" s="6">
        <v>0.06</v>
      </c>
      <c r="R143" s="6">
        <v>0.2</v>
      </c>
      <c r="S143" s="6">
        <f t="shared" si="2"/>
        <v>6.0625000000000012E-2</v>
      </c>
    </row>
    <row r="144" spans="1:19" x14ac:dyDescent="0.45">
      <c r="A144" t="s">
        <v>53</v>
      </c>
      <c r="B144" t="s">
        <v>1256</v>
      </c>
      <c r="C144" s="6"/>
      <c r="D144" s="6" t="s">
        <v>1256</v>
      </c>
      <c r="E144" s="6" t="s">
        <v>1256</v>
      </c>
      <c r="F144" s="6" t="s">
        <v>1256</v>
      </c>
      <c r="G144" s="6" t="s">
        <v>1256</v>
      </c>
      <c r="H144" s="6" t="s">
        <v>1256</v>
      </c>
      <c r="I144" s="6" t="s">
        <v>1256</v>
      </c>
      <c r="J144" s="6" t="s">
        <v>1256</v>
      </c>
      <c r="K144" s="6" t="s">
        <v>1256</v>
      </c>
      <c r="L144" s="6" t="s">
        <v>1256</v>
      </c>
      <c r="M144" s="6" t="s">
        <v>1256</v>
      </c>
      <c r="N144" s="6" t="s">
        <v>1256</v>
      </c>
      <c r="O144" s="6" t="s">
        <v>1256</v>
      </c>
      <c r="P144" s="6" t="s">
        <v>1256</v>
      </c>
      <c r="Q144" s="6" t="s">
        <v>1256</v>
      </c>
      <c r="R144" s="6" t="s">
        <v>1256</v>
      </c>
      <c r="S144" s="6"/>
    </row>
    <row r="145" spans="1:19" x14ac:dyDescent="0.45">
      <c r="B145" t="s">
        <v>1311</v>
      </c>
      <c r="C145" s="6">
        <v>0.3</v>
      </c>
      <c r="D145" s="6">
        <v>0.24</v>
      </c>
      <c r="E145" s="6">
        <v>0.22</v>
      </c>
      <c r="F145" s="6">
        <v>0.4</v>
      </c>
      <c r="G145" s="6">
        <v>0.19</v>
      </c>
      <c r="H145" s="6">
        <v>0.3</v>
      </c>
      <c r="I145" s="6">
        <v>0.25</v>
      </c>
      <c r="J145" s="6">
        <v>0.4</v>
      </c>
      <c r="K145" s="6">
        <v>0.15</v>
      </c>
      <c r="L145" s="6">
        <v>0.2</v>
      </c>
      <c r="M145" s="6">
        <v>0.18</v>
      </c>
      <c r="N145" s="6">
        <v>0.15</v>
      </c>
      <c r="O145" s="6">
        <v>0.25</v>
      </c>
      <c r="P145" s="6">
        <v>0.18</v>
      </c>
      <c r="Q145" s="6">
        <v>0.3</v>
      </c>
      <c r="R145" s="6">
        <v>0.25</v>
      </c>
      <c r="S145" s="6">
        <f t="shared" si="2"/>
        <v>0.24750000000000003</v>
      </c>
    </row>
    <row r="146" spans="1:19" x14ac:dyDescent="0.45">
      <c r="B146" t="s">
        <v>1312</v>
      </c>
      <c r="C146" s="6">
        <v>0.4</v>
      </c>
      <c r="D146" s="6">
        <v>0.4</v>
      </c>
      <c r="E146" s="6">
        <v>0.35</v>
      </c>
      <c r="F146" s="6">
        <v>0.45</v>
      </c>
      <c r="G146" s="6">
        <v>0.28000000000000003</v>
      </c>
      <c r="H146" s="6">
        <v>0.35</v>
      </c>
      <c r="I146" s="6">
        <v>0.35</v>
      </c>
      <c r="J146" s="6">
        <v>0.55000000000000004</v>
      </c>
      <c r="K146" s="6">
        <v>0.25</v>
      </c>
      <c r="L146" s="6">
        <v>0.35</v>
      </c>
      <c r="M146" s="6">
        <v>0.34</v>
      </c>
      <c r="N146" s="6">
        <v>0.4</v>
      </c>
      <c r="O146" s="6">
        <v>0.5</v>
      </c>
      <c r="P146" s="6">
        <v>0.28000000000000003</v>
      </c>
      <c r="Q146" s="6">
        <v>0.4</v>
      </c>
      <c r="R146" s="6">
        <v>0.4</v>
      </c>
      <c r="S146" s="6">
        <f t="shared" si="2"/>
        <v>0.3781250000000001</v>
      </c>
    </row>
    <row r="147" spans="1:19" x14ac:dyDescent="0.45">
      <c r="B147" t="s">
        <v>1313</v>
      </c>
      <c r="C147" s="6">
        <v>0.55000000000000004</v>
      </c>
      <c r="D147" s="6">
        <v>0.46</v>
      </c>
      <c r="E147" s="6">
        <v>0.4</v>
      </c>
      <c r="F147" s="6">
        <v>0.5</v>
      </c>
      <c r="G147" s="6">
        <v>0.33</v>
      </c>
      <c r="H147" s="6">
        <v>0.45</v>
      </c>
      <c r="I147" s="6">
        <v>0.45</v>
      </c>
      <c r="J147" s="6">
        <v>0.65</v>
      </c>
      <c r="K147" s="6">
        <v>0.4</v>
      </c>
      <c r="L147" s="6">
        <v>0.45</v>
      </c>
      <c r="M147" s="6">
        <v>0.42</v>
      </c>
      <c r="N147" s="6">
        <v>0.35</v>
      </c>
      <c r="O147" s="6">
        <v>0.6</v>
      </c>
      <c r="P147" s="6">
        <v>0.34</v>
      </c>
      <c r="Q147" s="6">
        <v>0.5</v>
      </c>
      <c r="R147" s="6">
        <v>0.4</v>
      </c>
      <c r="S147" s="6">
        <f t="shared" si="2"/>
        <v>0.453125</v>
      </c>
    </row>
    <row r="148" spans="1:19" x14ac:dyDescent="0.45">
      <c r="B148" t="s">
        <v>1314</v>
      </c>
      <c r="C148" s="6">
        <v>0.5</v>
      </c>
      <c r="D148" s="6">
        <v>0.38</v>
      </c>
      <c r="E148" s="6">
        <v>0.3</v>
      </c>
      <c r="F148" s="6">
        <v>0.35</v>
      </c>
      <c r="G148" s="6">
        <v>0.36</v>
      </c>
      <c r="H148" s="6">
        <v>0.35</v>
      </c>
      <c r="I148" s="6">
        <v>0.5</v>
      </c>
      <c r="J148" s="6">
        <v>0.7</v>
      </c>
      <c r="K148" s="6">
        <v>0.3</v>
      </c>
      <c r="L148" s="6">
        <v>0.45</v>
      </c>
      <c r="M148" s="6">
        <v>0.48</v>
      </c>
      <c r="N148" s="6">
        <v>0.45</v>
      </c>
      <c r="O148" s="6">
        <v>0.4</v>
      </c>
      <c r="P148" s="6">
        <v>0.4</v>
      </c>
      <c r="Q148" s="6">
        <v>0.38</v>
      </c>
      <c r="R148" s="6">
        <v>0.35</v>
      </c>
      <c r="S148" s="6">
        <f t="shared" si="2"/>
        <v>0.41562500000000002</v>
      </c>
    </row>
    <row r="149" spans="1:19" x14ac:dyDescent="0.45">
      <c r="B149" t="s">
        <v>1315</v>
      </c>
      <c r="C149" s="6">
        <v>0.35</v>
      </c>
      <c r="D149" s="6">
        <v>0.36</v>
      </c>
      <c r="E149" s="6">
        <v>0.35</v>
      </c>
      <c r="F149" s="6">
        <v>0.4</v>
      </c>
      <c r="G149" s="6">
        <v>0.28999999999999998</v>
      </c>
      <c r="H149" s="6">
        <v>0.4</v>
      </c>
      <c r="I149" s="6">
        <v>0.38</v>
      </c>
      <c r="J149" s="6">
        <v>0.65</v>
      </c>
      <c r="K149" s="6">
        <v>0.35</v>
      </c>
      <c r="L149" s="6">
        <v>0.4</v>
      </c>
      <c r="M149" s="6">
        <v>0.32</v>
      </c>
      <c r="N149" s="6">
        <v>0.3</v>
      </c>
      <c r="O149" s="6">
        <v>0.5</v>
      </c>
      <c r="P149" s="6">
        <v>0.33</v>
      </c>
      <c r="Q149" s="6">
        <v>0.35</v>
      </c>
      <c r="R149" s="6">
        <v>0.5</v>
      </c>
      <c r="S149" s="6">
        <f t="shared" si="2"/>
        <v>0.38937499999999997</v>
      </c>
    </row>
    <row r="150" spans="1:19" x14ac:dyDescent="0.45">
      <c r="B150" t="s">
        <v>1289</v>
      </c>
      <c r="C150" s="6">
        <v>0.05</v>
      </c>
      <c r="D150" s="6">
        <v>0.1</v>
      </c>
      <c r="E150" s="6">
        <v>0.1</v>
      </c>
      <c r="F150" s="6">
        <v>0.1</v>
      </c>
      <c r="G150" s="6">
        <v>0.06</v>
      </c>
      <c r="H150" s="6">
        <v>0.08</v>
      </c>
      <c r="I150" s="6">
        <v>0.12</v>
      </c>
      <c r="J150" s="6">
        <v>0.2</v>
      </c>
      <c r="K150" s="6">
        <v>0.15</v>
      </c>
      <c r="L150" s="6">
        <v>0.15</v>
      </c>
      <c r="M150" s="6">
        <v>0.08</v>
      </c>
      <c r="N150" s="6">
        <v>0.05</v>
      </c>
      <c r="O150" s="6">
        <v>0.05</v>
      </c>
      <c r="P150" s="6">
        <v>0.12</v>
      </c>
      <c r="Q150" s="6">
        <v>0.1</v>
      </c>
      <c r="R150" s="6">
        <v>0.2</v>
      </c>
      <c r="S150" s="6">
        <f t="shared" si="2"/>
        <v>0.10687500000000001</v>
      </c>
    </row>
    <row r="151" spans="1:19" x14ac:dyDescent="0.45">
      <c r="A151" t="s">
        <v>128</v>
      </c>
      <c r="B151" t="s">
        <v>1256</v>
      </c>
      <c r="C151" s="6"/>
      <c r="D151" s="6" t="s">
        <v>1256</v>
      </c>
      <c r="E151" s="6" t="s">
        <v>1256</v>
      </c>
      <c r="F151" s="6" t="s">
        <v>1256</v>
      </c>
      <c r="G151" s="6" t="s">
        <v>1256</v>
      </c>
      <c r="H151" s="6" t="s">
        <v>1256</v>
      </c>
      <c r="I151" s="6" t="s">
        <v>1256</v>
      </c>
      <c r="J151" s="6" t="s">
        <v>1256</v>
      </c>
      <c r="K151" s="6" t="s">
        <v>1256</v>
      </c>
      <c r="L151" s="6" t="s">
        <v>1256</v>
      </c>
      <c r="M151" s="6" t="s">
        <v>1256</v>
      </c>
      <c r="N151" s="6" t="s">
        <v>1256</v>
      </c>
      <c r="O151" s="6" t="s">
        <v>1256</v>
      </c>
      <c r="P151" s="6" t="s">
        <v>1256</v>
      </c>
      <c r="Q151" s="6" t="s">
        <v>1256</v>
      </c>
      <c r="R151" s="6" t="s">
        <v>1256</v>
      </c>
      <c r="S151" s="6"/>
    </row>
    <row r="152" spans="1:19" x14ac:dyDescent="0.45">
      <c r="A152" t="s">
        <v>41</v>
      </c>
      <c r="B152" t="s">
        <v>1256</v>
      </c>
      <c r="C152" s="6"/>
      <c r="D152" s="6" t="s">
        <v>1256</v>
      </c>
      <c r="E152" s="6" t="s">
        <v>1256</v>
      </c>
      <c r="F152" s="6" t="s">
        <v>1256</v>
      </c>
      <c r="G152" s="6" t="s">
        <v>1256</v>
      </c>
      <c r="H152" s="6" t="s">
        <v>1256</v>
      </c>
      <c r="I152" s="6" t="s">
        <v>1256</v>
      </c>
      <c r="J152" s="6" t="s">
        <v>1256</v>
      </c>
      <c r="K152" s="6" t="s">
        <v>1256</v>
      </c>
      <c r="L152" s="6" t="s">
        <v>1256</v>
      </c>
      <c r="M152" s="6" t="s">
        <v>1256</v>
      </c>
      <c r="N152" s="6" t="s">
        <v>1256</v>
      </c>
      <c r="O152" s="6" t="s">
        <v>1256</v>
      </c>
      <c r="P152" s="6" t="s">
        <v>1256</v>
      </c>
      <c r="Q152" s="6" t="s">
        <v>1256</v>
      </c>
      <c r="R152" s="6" t="s">
        <v>1256</v>
      </c>
      <c r="S152" s="6"/>
    </row>
    <row r="153" spans="1:19" x14ac:dyDescent="0.45">
      <c r="B153" t="s">
        <v>1316</v>
      </c>
      <c r="C153" s="6">
        <v>0.65</v>
      </c>
      <c r="D153" s="6">
        <v>0.52</v>
      </c>
      <c r="E153" s="6">
        <v>0.5</v>
      </c>
      <c r="F153" s="6">
        <v>0.5</v>
      </c>
      <c r="G153" s="6">
        <v>0.47</v>
      </c>
      <c r="H153" s="6">
        <v>0.55000000000000004</v>
      </c>
      <c r="I153" s="6">
        <v>0.62</v>
      </c>
      <c r="J153" s="6">
        <v>0.7</v>
      </c>
      <c r="K153" s="6">
        <v>0.5</v>
      </c>
      <c r="L153" s="6">
        <v>0.5</v>
      </c>
      <c r="M153" s="6">
        <v>0.57999999999999996</v>
      </c>
      <c r="N153" s="6">
        <v>0.55000000000000004</v>
      </c>
      <c r="O153" s="6">
        <v>0.65</v>
      </c>
      <c r="P153" s="6">
        <v>0.36</v>
      </c>
      <c r="Q153" s="6">
        <v>0.57999999999999996</v>
      </c>
      <c r="R153" s="6">
        <v>0.65</v>
      </c>
      <c r="S153" s="6">
        <f t="shared" si="2"/>
        <v>0.55500000000000005</v>
      </c>
    </row>
    <row r="154" spans="1:19" x14ac:dyDescent="0.45">
      <c r="B154" t="s">
        <v>1317</v>
      </c>
      <c r="C154" s="6">
        <v>0.7</v>
      </c>
      <c r="D154" s="6">
        <v>0.57999999999999996</v>
      </c>
      <c r="E154" s="6">
        <v>0.55000000000000004</v>
      </c>
      <c r="F154" s="6">
        <v>0.6</v>
      </c>
      <c r="G154" s="6">
        <v>0.54</v>
      </c>
      <c r="H154" s="6">
        <v>0.65</v>
      </c>
      <c r="I154" s="6">
        <v>0.55000000000000004</v>
      </c>
      <c r="J154" s="6">
        <v>0.8</v>
      </c>
      <c r="K154" s="6">
        <v>0.6</v>
      </c>
      <c r="L154" s="6">
        <v>0.6</v>
      </c>
      <c r="M154" s="6">
        <v>0.66</v>
      </c>
      <c r="N154" s="6">
        <v>0.65</v>
      </c>
      <c r="O154" s="6">
        <v>0.7</v>
      </c>
      <c r="P154" s="6">
        <v>0.52</v>
      </c>
      <c r="Q154" s="6">
        <v>0.72</v>
      </c>
      <c r="R154" s="6">
        <v>0.7</v>
      </c>
      <c r="S154" s="6">
        <f t="shared" si="2"/>
        <v>0.63249999999999995</v>
      </c>
    </row>
    <row r="155" spans="1:19" x14ac:dyDescent="0.45">
      <c r="B155" t="s">
        <v>1318</v>
      </c>
      <c r="C155" s="6">
        <v>0.45</v>
      </c>
      <c r="D155" s="6">
        <v>0.44</v>
      </c>
      <c r="E155" s="6">
        <v>0.35</v>
      </c>
      <c r="F155" s="6">
        <v>0.4</v>
      </c>
      <c r="G155" s="6">
        <v>0.43</v>
      </c>
      <c r="H155" s="6">
        <v>0.45</v>
      </c>
      <c r="I155" s="6">
        <v>0.4</v>
      </c>
      <c r="J155" s="6">
        <v>0.5</v>
      </c>
      <c r="K155" s="6">
        <v>0.35</v>
      </c>
      <c r="L155" s="6">
        <v>0.45</v>
      </c>
      <c r="M155" s="6">
        <v>0.48</v>
      </c>
      <c r="N155" s="6">
        <v>0.3</v>
      </c>
      <c r="O155" s="6">
        <v>0.45</v>
      </c>
      <c r="P155" s="6">
        <v>0.34</v>
      </c>
      <c r="Q155" s="6">
        <v>0.6</v>
      </c>
      <c r="R155" s="6">
        <v>0.5</v>
      </c>
      <c r="S155" s="6">
        <f t="shared" si="2"/>
        <v>0.43062500000000004</v>
      </c>
    </row>
    <row r="156" spans="1:19" x14ac:dyDescent="0.45">
      <c r="B156" t="s">
        <v>1319</v>
      </c>
      <c r="C156" s="6">
        <v>0.55000000000000004</v>
      </c>
      <c r="D156" s="6">
        <v>0.42</v>
      </c>
      <c r="E156" s="6">
        <v>0.4</v>
      </c>
      <c r="F156" s="6">
        <v>0.45</v>
      </c>
      <c r="G156" s="6">
        <v>0.38</v>
      </c>
      <c r="H156" s="6">
        <v>0.5</v>
      </c>
      <c r="I156" s="6">
        <v>0.35</v>
      </c>
      <c r="J156" s="6">
        <v>0.65</v>
      </c>
      <c r="K156" s="6">
        <v>0.4</v>
      </c>
      <c r="L156" s="6">
        <v>0.4</v>
      </c>
      <c r="M156" s="6">
        <v>0.54</v>
      </c>
      <c r="N156" s="6">
        <v>0.45</v>
      </c>
      <c r="O156" s="6">
        <v>0.55000000000000004</v>
      </c>
      <c r="P156" s="6">
        <v>0.31</v>
      </c>
      <c r="Q156" s="6">
        <v>0.48</v>
      </c>
      <c r="R156" s="6">
        <v>0.45</v>
      </c>
      <c r="S156" s="6">
        <f t="shared" si="2"/>
        <v>0.45500000000000002</v>
      </c>
    </row>
    <row r="157" spans="1:19" x14ac:dyDescent="0.45">
      <c r="B157" t="s">
        <v>1320</v>
      </c>
      <c r="C157" s="6">
        <v>0.3</v>
      </c>
      <c r="D157" s="6">
        <v>0.28000000000000003</v>
      </c>
      <c r="E157" s="6">
        <v>0.25</v>
      </c>
      <c r="F157" s="6">
        <v>0.3</v>
      </c>
      <c r="G157" s="6">
        <v>0.19</v>
      </c>
      <c r="H157" s="6">
        <v>0.3</v>
      </c>
      <c r="I157" s="6">
        <v>0.25</v>
      </c>
      <c r="J157" s="6">
        <v>0.4</v>
      </c>
      <c r="K157" s="6">
        <v>0.25</v>
      </c>
      <c r="L157" s="6">
        <v>0.35</v>
      </c>
      <c r="M157" s="6">
        <v>0.44</v>
      </c>
      <c r="N157" s="6">
        <v>0.25</v>
      </c>
      <c r="O157" s="6">
        <v>0.35</v>
      </c>
      <c r="P157" s="6">
        <v>0.22</v>
      </c>
      <c r="Q157" s="6">
        <v>0.3</v>
      </c>
      <c r="R157" s="6">
        <v>0.4</v>
      </c>
      <c r="S157" s="6">
        <f t="shared" si="2"/>
        <v>0.301875</v>
      </c>
    </row>
    <row r="158" spans="1:19" x14ac:dyDescent="0.45">
      <c r="B158" t="s">
        <v>1321</v>
      </c>
      <c r="C158" s="6">
        <v>0.1</v>
      </c>
      <c r="D158" s="6">
        <v>0.1</v>
      </c>
      <c r="E158" s="6">
        <v>0.15</v>
      </c>
      <c r="F158" s="6">
        <v>0.1</v>
      </c>
      <c r="G158" s="6">
        <v>0.17</v>
      </c>
      <c r="H158" s="6">
        <v>0.1</v>
      </c>
      <c r="I158" s="6">
        <v>0.18</v>
      </c>
      <c r="J158" s="6">
        <v>0.1</v>
      </c>
      <c r="K158" s="6">
        <v>0.25</v>
      </c>
      <c r="L158" s="6">
        <v>0.2</v>
      </c>
      <c r="M158" s="6">
        <v>0.08</v>
      </c>
      <c r="N158" s="6">
        <v>0.15</v>
      </c>
      <c r="O158" s="6">
        <v>0.15</v>
      </c>
      <c r="P158" s="6">
        <v>0.3</v>
      </c>
      <c r="Q158" s="6">
        <v>0.06</v>
      </c>
      <c r="R158" s="6">
        <v>0.08</v>
      </c>
      <c r="S158" s="6">
        <f t="shared" si="2"/>
        <v>0.141875</v>
      </c>
    </row>
    <row r="159" spans="1:19" x14ac:dyDescent="0.45">
      <c r="B159" t="s">
        <v>1289</v>
      </c>
      <c r="C159" s="6">
        <v>0.02</v>
      </c>
      <c r="D159" s="6">
        <v>0.04</v>
      </c>
      <c r="E159" s="6">
        <v>0.05</v>
      </c>
      <c r="F159" s="6">
        <v>0.05</v>
      </c>
      <c r="G159" s="6">
        <v>0.04</v>
      </c>
      <c r="H159" s="6">
        <v>0.04</v>
      </c>
      <c r="I159" s="6">
        <v>0.06</v>
      </c>
      <c r="J159" s="6">
        <v>0.05</v>
      </c>
      <c r="K159" s="6">
        <v>0.05</v>
      </c>
      <c r="L159" s="6">
        <v>0.1</v>
      </c>
      <c r="M159" s="6">
        <v>0.03</v>
      </c>
      <c r="N159" s="6">
        <v>0.03</v>
      </c>
      <c r="O159" s="6">
        <v>0.02</v>
      </c>
      <c r="P159" s="6">
        <v>0.08</v>
      </c>
      <c r="Q159" s="6">
        <v>0.04</v>
      </c>
      <c r="R159" s="6">
        <v>0.1</v>
      </c>
      <c r="S159" s="6">
        <f t="shared" si="2"/>
        <v>0.05</v>
      </c>
    </row>
    <row r="160" spans="1:19" x14ac:dyDescent="0.45">
      <c r="A160" t="s">
        <v>47</v>
      </c>
      <c r="B160" t="s">
        <v>1256</v>
      </c>
      <c r="C160" s="6"/>
      <c r="D160" s="6" t="s">
        <v>1256</v>
      </c>
      <c r="E160" s="6" t="s">
        <v>1256</v>
      </c>
      <c r="F160" s="6" t="s">
        <v>1256</v>
      </c>
      <c r="G160" s="6" t="s">
        <v>1256</v>
      </c>
      <c r="H160" s="6" t="s">
        <v>1256</v>
      </c>
      <c r="I160" s="6" t="s">
        <v>1256</v>
      </c>
      <c r="J160" s="6" t="s">
        <v>1256</v>
      </c>
      <c r="K160" s="6" t="s">
        <v>1256</v>
      </c>
      <c r="L160" s="6" t="s">
        <v>1256</v>
      </c>
      <c r="M160" s="6" t="s">
        <v>1256</v>
      </c>
      <c r="N160" s="6" t="s">
        <v>1256</v>
      </c>
      <c r="O160" s="6" t="s">
        <v>1256</v>
      </c>
      <c r="P160" s="6" t="s">
        <v>1256</v>
      </c>
      <c r="Q160" s="6" t="s">
        <v>1256</v>
      </c>
      <c r="R160" s="6" t="s">
        <v>1256</v>
      </c>
      <c r="S160" s="6"/>
    </row>
    <row r="161" spans="1:19" x14ac:dyDescent="0.45">
      <c r="B161" t="s">
        <v>1316</v>
      </c>
      <c r="C161" s="6">
        <v>0.55000000000000004</v>
      </c>
      <c r="D161" s="6">
        <v>0.5</v>
      </c>
      <c r="E161" s="6">
        <v>0.45</v>
      </c>
      <c r="F161" s="6">
        <v>0.45</v>
      </c>
      <c r="G161" s="6">
        <v>0.42</v>
      </c>
      <c r="H161" s="6">
        <v>0.5</v>
      </c>
      <c r="I161" s="6">
        <v>0.5</v>
      </c>
      <c r="J161" s="6">
        <v>0.75</v>
      </c>
      <c r="K161" s="6">
        <v>0.45</v>
      </c>
      <c r="L161" s="6">
        <v>0.45</v>
      </c>
      <c r="M161" s="6">
        <v>0.52</v>
      </c>
      <c r="N161" s="6">
        <v>0.6</v>
      </c>
      <c r="O161" s="6">
        <v>0.6</v>
      </c>
      <c r="P161" s="6">
        <v>0.32</v>
      </c>
      <c r="Q161" s="6">
        <v>0.5</v>
      </c>
      <c r="R161" s="6">
        <v>0.6</v>
      </c>
      <c r="S161" s="6">
        <f t="shared" si="2"/>
        <v>0.51</v>
      </c>
    </row>
    <row r="162" spans="1:19" x14ac:dyDescent="0.45">
      <c r="B162" t="s">
        <v>1317</v>
      </c>
      <c r="C162" s="6">
        <v>0.6</v>
      </c>
      <c r="D162" s="6">
        <v>0.6</v>
      </c>
      <c r="E162" s="6">
        <v>0.55000000000000004</v>
      </c>
      <c r="F162" s="6">
        <v>0.55000000000000004</v>
      </c>
      <c r="G162" s="6">
        <v>0.51</v>
      </c>
      <c r="H162" s="6">
        <v>0.6</v>
      </c>
      <c r="I162" s="6">
        <v>0.48</v>
      </c>
      <c r="J162" s="6">
        <v>0.85</v>
      </c>
      <c r="K162" s="6">
        <v>0.65</v>
      </c>
      <c r="L162" s="6">
        <v>0.65</v>
      </c>
      <c r="M162" s="6">
        <v>0.62</v>
      </c>
      <c r="N162" s="6">
        <v>0.7</v>
      </c>
      <c r="O162" s="6">
        <v>0.75</v>
      </c>
      <c r="P162" s="6">
        <v>0.48</v>
      </c>
      <c r="Q162" s="6">
        <v>0.68</v>
      </c>
      <c r="R162" s="6">
        <v>0.65</v>
      </c>
      <c r="S162" s="6">
        <f t="shared" si="2"/>
        <v>0.62</v>
      </c>
    </row>
    <row r="163" spans="1:19" x14ac:dyDescent="0.45">
      <c r="B163" t="s">
        <v>1318</v>
      </c>
      <c r="C163" s="6">
        <v>0.75</v>
      </c>
      <c r="D163" s="6">
        <v>0.48</v>
      </c>
      <c r="E163" s="6">
        <v>0.4</v>
      </c>
      <c r="F163" s="6">
        <v>0.5</v>
      </c>
      <c r="G163" s="6">
        <v>0.49</v>
      </c>
      <c r="H163" s="6">
        <v>0.55000000000000004</v>
      </c>
      <c r="I163" s="6">
        <v>0.57999999999999996</v>
      </c>
      <c r="J163" s="6">
        <v>0.7</v>
      </c>
      <c r="K163" s="6">
        <v>0.5</v>
      </c>
      <c r="L163" s="6">
        <v>0.55000000000000004</v>
      </c>
      <c r="M163" s="6">
        <v>0.56000000000000005</v>
      </c>
      <c r="N163" s="6">
        <v>0.4</v>
      </c>
      <c r="O163" s="6">
        <v>0.65</v>
      </c>
      <c r="P163" s="6">
        <v>0.42</v>
      </c>
      <c r="Q163" s="6">
        <v>0.65</v>
      </c>
      <c r="R163" s="6">
        <v>0.55000000000000004</v>
      </c>
      <c r="S163" s="6">
        <f t="shared" si="2"/>
        <v>0.54562500000000014</v>
      </c>
    </row>
    <row r="164" spans="1:19" x14ac:dyDescent="0.45">
      <c r="B164" t="s">
        <v>1319</v>
      </c>
      <c r="C164" s="6">
        <v>0.65</v>
      </c>
      <c r="D164" s="6">
        <v>0.46</v>
      </c>
      <c r="E164" s="6">
        <v>0.35</v>
      </c>
      <c r="F164" s="6">
        <v>0.4</v>
      </c>
      <c r="G164" s="6">
        <v>0.34</v>
      </c>
      <c r="H164" s="6">
        <v>0.45</v>
      </c>
      <c r="I164" s="6">
        <v>0.45</v>
      </c>
      <c r="J164" s="6">
        <v>0.7</v>
      </c>
      <c r="K164" s="6">
        <v>0.45</v>
      </c>
      <c r="L164" s="6">
        <v>0.5</v>
      </c>
      <c r="M164" s="6">
        <v>0.48</v>
      </c>
      <c r="N164" s="6">
        <v>0.5</v>
      </c>
      <c r="O164" s="6">
        <v>0.7</v>
      </c>
      <c r="P164" s="6">
        <v>0.28000000000000003</v>
      </c>
      <c r="Q164" s="6">
        <v>0.55000000000000004</v>
      </c>
      <c r="R164" s="6">
        <v>0.5</v>
      </c>
      <c r="S164" s="6">
        <f t="shared" si="2"/>
        <v>0.48500000000000004</v>
      </c>
    </row>
    <row r="165" spans="1:19" x14ac:dyDescent="0.45">
      <c r="B165" t="s">
        <v>1320</v>
      </c>
      <c r="C165" s="6">
        <v>0.35</v>
      </c>
      <c r="D165" s="6">
        <v>0.26</v>
      </c>
      <c r="E165" s="6">
        <v>0.22</v>
      </c>
      <c r="F165" s="6">
        <v>0.25</v>
      </c>
      <c r="G165" s="6">
        <v>0.17</v>
      </c>
      <c r="H165" s="6">
        <v>0.25</v>
      </c>
      <c r="I165" s="6">
        <v>0.22</v>
      </c>
      <c r="J165" s="6">
        <v>0.45</v>
      </c>
      <c r="K165" s="6">
        <v>0.3</v>
      </c>
      <c r="L165" s="6">
        <v>0.4</v>
      </c>
      <c r="M165" s="6">
        <v>0.42</v>
      </c>
      <c r="N165" s="6">
        <v>0.3</v>
      </c>
      <c r="O165" s="6">
        <v>0.4</v>
      </c>
      <c r="P165" s="6">
        <v>0.18</v>
      </c>
      <c r="Q165" s="6">
        <v>0.25</v>
      </c>
      <c r="R165" s="6">
        <v>0.4</v>
      </c>
      <c r="S165" s="6">
        <f t="shared" si="2"/>
        <v>0.30124999999999996</v>
      </c>
    </row>
    <row r="166" spans="1:19" x14ac:dyDescent="0.45">
      <c r="B166" t="s">
        <v>1321</v>
      </c>
      <c r="C166" s="6">
        <v>0.05</v>
      </c>
      <c r="D166" s="6">
        <v>0.08</v>
      </c>
      <c r="E166" s="6">
        <v>0.12</v>
      </c>
      <c r="F166" s="6">
        <v>0.05</v>
      </c>
      <c r="G166" s="6">
        <v>0.14000000000000001</v>
      </c>
      <c r="H166" s="6">
        <v>0.12</v>
      </c>
      <c r="I166" s="6">
        <v>0.2</v>
      </c>
      <c r="J166" s="6">
        <v>0.05</v>
      </c>
      <c r="K166" s="6">
        <v>0.15</v>
      </c>
      <c r="L166" s="6">
        <v>0.15</v>
      </c>
      <c r="M166" s="6">
        <v>0.06</v>
      </c>
      <c r="N166" s="6">
        <v>0.1</v>
      </c>
      <c r="O166" s="6">
        <v>0.1</v>
      </c>
      <c r="P166" s="6">
        <v>0.31</v>
      </c>
      <c r="Q166" s="6">
        <v>0.05</v>
      </c>
      <c r="R166" s="6">
        <v>0.12</v>
      </c>
      <c r="S166" s="6">
        <f t="shared" si="2"/>
        <v>0.11562500000000003</v>
      </c>
    </row>
    <row r="167" spans="1:19" x14ac:dyDescent="0.45">
      <c r="B167" t="s">
        <v>1289</v>
      </c>
      <c r="C167" s="6">
        <v>0.02</v>
      </c>
      <c r="D167" s="6">
        <v>0.04</v>
      </c>
      <c r="E167" s="6">
        <v>0.05</v>
      </c>
      <c r="F167" s="6">
        <v>0.05</v>
      </c>
      <c r="G167" s="6">
        <v>0.03</v>
      </c>
      <c r="H167" s="6">
        <v>0.03</v>
      </c>
      <c r="I167" s="6">
        <v>0.05</v>
      </c>
      <c r="J167" s="6">
        <v>0.05</v>
      </c>
      <c r="K167" s="6">
        <v>0.05</v>
      </c>
      <c r="L167" s="6">
        <v>0.08</v>
      </c>
      <c r="M167" s="6">
        <v>0.04</v>
      </c>
      <c r="N167" s="6">
        <v>0.02</v>
      </c>
      <c r="O167" s="6">
        <v>0.02</v>
      </c>
      <c r="P167" s="6">
        <v>7.0000000000000007E-2</v>
      </c>
      <c r="Q167" s="6">
        <v>0.05</v>
      </c>
      <c r="R167" s="6">
        <v>0.12</v>
      </c>
      <c r="S167" s="6">
        <f t="shared" si="2"/>
        <v>4.8125000000000008E-2</v>
      </c>
    </row>
    <row r="168" spans="1:19" x14ac:dyDescent="0.45">
      <c r="A168" t="s">
        <v>53</v>
      </c>
      <c r="B168" t="s">
        <v>1256</v>
      </c>
      <c r="C168" s="6"/>
      <c r="D168" s="6" t="s">
        <v>1256</v>
      </c>
      <c r="E168" s="6" t="s">
        <v>1256</v>
      </c>
      <c r="F168" s="6" t="s">
        <v>1256</v>
      </c>
      <c r="G168" s="6" t="s">
        <v>1256</v>
      </c>
      <c r="H168" s="6" t="s">
        <v>1256</v>
      </c>
      <c r="I168" s="6" t="s">
        <v>1256</v>
      </c>
      <c r="J168" s="6" t="s">
        <v>1256</v>
      </c>
      <c r="K168" s="6" t="s">
        <v>1256</v>
      </c>
      <c r="L168" s="6" t="s">
        <v>1256</v>
      </c>
      <c r="M168" s="6" t="s">
        <v>1256</v>
      </c>
      <c r="N168" s="6" t="s">
        <v>1256</v>
      </c>
      <c r="O168" s="6" t="s">
        <v>1256</v>
      </c>
      <c r="P168" s="6" t="s">
        <v>1256</v>
      </c>
      <c r="Q168" s="6" t="s">
        <v>1256</v>
      </c>
      <c r="R168" s="6" t="s">
        <v>1256</v>
      </c>
      <c r="S168" s="6"/>
    </row>
    <row r="169" spans="1:19" x14ac:dyDescent="0.45">
      <c r="B169" t="s">
        <v>1316</v>
      </c>
      <c r="C169" s="6">
        <v>0.7</v>
      </c>
      <c r="D169" s="6">
        <v>0.44</v>
      </c>
      <c r="E169" s="6">
        <v>0.4</v>
      </c>
      <c r="F169" s="6">
        <v>0.55000000000000004</v>
      </c>
      <c r="G169" s="6">
        <v>0.36</v>
      </c>
      <c r="H169" s="6">
        <v>0.45</v>
      </c>
      <c r="I169" s="6">
        <v>0.55000000000000004</v>
      </c>
      <c r="J169" s="6">
        <v>0.65</v>
      </c>
      <c r="K169" s="6">
        <v>0.35</v>
      </c>
      <c r="L169" s="6">
        <v>0.4</v>
      </c>
      <c r="M169" s="6">
        <v>0.36</v>
      </c>
      <c r="N169" s="6">
        <v>0.45</v>
      </c>
      <c r="O169" s="6">
        <v>0.55000000000000004</v>
      </c>
      <c r="P169" s="6">
        <v>0.28000000000000003</v>
      </c>
      <c r="Q169" s="6">
        <v>0.4</v>
      </c>
      <c r="R169" s="6">
        <v>0.55000000000000004</v>
      </c>
      <c r="S169" s="6">
        <f t="shared" si="2"/>
        <v>0.46500000000000008</v>
      </c>
    </row>
    <row r="170" spans="1:19" x14ac:dyDescent="0.45">
      <c r="B170" t="s">
        <v>1317</v>
      </c>
      <c r="C170" s="6">
        <v>0.75</v>
      </c>
      <c r="D170" s="6">
        <v>0.52</v>
      </c>
      <c r="E170" s="6">
        <v>0.5</v>
      </c>
      <c r="F170" s="6">
        <v>0.5</v>
      </c>
      <c r="G170" s="6">
        <v>0.44</v>
      </c>
      <c r="H170" s="6">
        <v>0.55000000000000004</v>
      </c>
      <c r="I170" s="6">
        <v>0.52</v>
      </c>
      <c r="J170" s="6">
        <v>0.75</v>
      </c>
      <c r="K170" s="6">
        <v>0.45</v>
      </c>
      <c r="L170" s="6">
        <v>0.5</v>
      </c>
      <c r="M170" s="6">
        <v>0.44</v>
      </c>
      <c r="N170" s="6">
        <v>0.5</v>
      </c>
      <c r="O170" s="6">
        <v>0.65</v>
      </c>
      <c r="P170" s="6">
        <v>0.44</v>
      </c>
      <c r="Q170" s="6">
        <v>0.56000000000000005</v>
      </c>
      <c r="R170" s="6">
        <v>0.6</v>
      </c>
      <c r="S170" s="6">
        <f t="shared" si="2"/>
        <v>0.541875</v>
      </c>
    </row>
    <row r="171" spans="1:19" x14ac:dyDescent="0.45">
      <c r="B171" t="s">
        <v>1318</v>
      </c>
      <c r="C171" s="6">
        <v>0.4</v>
      </c>
      <c r="D171" s="6">
        <v>0.36</v>
      </c>
      <c r="E171" s="6">
        <v>0.28000000000000003</v>
      </c>
      <c r="F171" s="6">
        <v>0.35</v>
      </c>
      <c r="G171" s="6">
        <v>0.31</v>
      </c>
      <c r="H171" s="6">
        <v>0.35</v>
      </c>
      <c r="I171" s="6">
        <v>0.38</v>
      </c>
      <c r="J171" s="6">
        <v>0.4</v>
      </c>
      <c r="K171" s="6">
        <v>0.25</v>
      </c>
      <c r="L171" s="6">
        <v>0.35</v>
      </c>
      <c r="M171" s="6">
        <v>0.28000000000000003</v>
      </c>
      <c r="N171" s="6">
        <v>0.2</v>
      </c>
      <c r="O171" s="6">
        <v>0.5</v>
      </c>
      <c r="P171" s="6">
        <v>0.3</v>
      </c>
      <c r="Q171" s="6">
        <v>0.45</v>
      </c>
      <c r="R171" s="6">
        <v>0.4</v>
      </c>
      <c r="S171" s="6">
        <f t="shared" si="2"/>
        <v>0.34750000000000003</v>
      </c>
    </row>
    <row r="172" spans="1:19" x14ac:dyDescent="0.45">
      <c r="B172" t="s">
        <v>1319</v>
      </c>
      <c r="C172" s="6">
        <v>0.45</v>
      </c>
      <c r="D172" s="6">
        <v>0.34</v>
      </c>
      <c r="E172" s="6">
        <v>0.3</v>
      </c>
      <c r="F172" s="6">
        <v>0.4</v>
      </c>
      <c r="G172" s="6">
        <v>0.28999999999999998</v>
      </c>
      <c r="H172" s="6">
        <v>0.4</v>
      </c>
      <c r="I172" s="6">
        <v>0.3</v>
      </c>
      <c r="J172" s="6">
        <v>0.6</v>
      </c>
      <c r="K172" s="6">
        <v>0.3</v>
      </c>
      <c r="L172" s="6">
        <v>0.3</v>
      </c>
      <c r="M172" s="6">
        <v>0.32</v>
      </c>
      <c r="N172" s="6">
        <v>0.3</v>
      </c>
      <c r="O172" s="6">
        <v>0.45</v>
      </c>
      <c r="P172" s="6">
        <v>0.24</v>
      </c>
      <c r="Q172" s="6">
        <v>0.38</v>
      </c>
      <c r="R172" s="6">
        <v>0.4</v>
      </c>
      <c r="S172" s="6">
        <f t="shared" si="2"/>
        <v>0.36062500000000003</v>
      </c>
    </row>
    <row r="173" spans="1:19" x14ac:dyDescent="0.45">
      <c r="B173" t="s">
        <v>1320</v>
      </c>
      <c r="C173" s="6">
        <v>0.4</v>
      </c>
      <c r="D173" s="6">
        <v>0.24</v>
      </c>
      <c r="E173" s="6">
        <v>0.2</v>
      </c>
      <c r="F173" s="6">
        <v>0.35</v>
      </c>
      <c r="G173" s="6">
        <v>0.15</v>
      </c>
      <c r="H173" s="6">
        <v>0.35</v>
      </c>
      <c r="I173" s="6">
        <v>0.28000000000000003</v>
      </c>
      <c r="J173" s="6">
        <v>0.35</v>
      </c>
      <c r="K173" s="6">
        <v>0.2</v>
      </c>
      <c r="L173" s="6">
        <v>0.25</v>
      </c>
      <c r="M173" s="6">
        <v>0.24</v>
      </c>
      <c r="N173" s="6">
        <v>0.2</v>
      </c>
      <c r="O173" s="6">
        <v>0.45</v>
      </c>
      <c r="P173" s="6">
        <v>0.18</v>
      </c>
      <c r="Q173" s="6">
        <v>0.2</v>
      </c>
      <c r="R173" s="6">
        <v>0.35</v>
      </c>
      <c r="S173" s="6">
        <f t="shared" si="2"/>
        <v>0.27437499999999998</v>
      </c>
    </row>
    <row r="174" spans="1:19" x14ac:dyDescent="0.45">
      <c r="B174" t="s">
        <v>1321</v>
      </c>
      <c r="C174" s="6">
        <v>0.12</v>
      </c>
      <c r="D174" s="6">
        <v>0.18</v>
      </c>
      <c r="E174" s="6">
        <v>0.22</v>
      </c>
      <c r="F174" s="6">
        <v>0.15</v>
      </c>
      <c r="G174" s="6">
        <v>0.24</v>
      </c>
      <c r="H174" s="6">
        <v>0.18</v>
      </c>
      <c r="I174" s="6">
        <v>0.22</v>
      </c>
      <c r="J174" s="6">
        <v>0.2</v>
      </c>
      <c r="K174" s="6">
        <v>0.4</v>
      </c>
      <c r="L174" s="6">
        <v>0.3</v>
      </c>
      <c r="M174" s="6">
        <v>0.28000000000000003</v>
      </c>
      <c r="N174" s="6">
        <v>0.25</v>
      </c>
      <c r="O174" s="6">
        <v>0.2</v>
      </c>
      <c r="P174" s="6">
        <v>0.4</v>
      </c>
      <c r="Q174" s="6">
        <v>0.12</v>
      </c>
      <c r="R174" s="6">
        <v>0.2</v>
      </c>
      <c r="S174" s="6">
        <f t="shared" si="2"/>
        <v>0.22875000000000004</v>
      </c>
    </row>
    <row r="175" spans="1:19" x14ac:dyDescent="0.45">
      <c r="B175" t="s">
        <v>1289</v>
      </c>
      <c r="C175" s="6">
        <v>0.05</v>
      </c>
      <c r="D175" s="6">
        <v>0.08</v>
      </c>
      <c r="E175" s="6">
        <v>0.08</v>
      </c>
      <c r="F175" s="6">
        <v>0.1</v>
      </c>
      <c r="G175" s="6">
        <v>0.05</v>
      </c>
      <c r="H175" s="6">
        <v>0.06</v>
      </c>
      <c r="I175" s="6">
        <v>0.1</v>
      </c>
      <c r="J175" s="6">
        <v>0.1</v>
      </c>
      <c r="K175" s="6">
        <v>0.1</v>
      </c>
      <c r="L175" s="6">
        <v>0.15</v>
      </c>
      <c r="M175" s="6">
        <v>0.08</v>
      </c>
      <c r="N175" s="6">
        <v>0.05</v>
      </c>
      <c r="O175" s="6">
        <v>0.05</v>
      </c>
      <c r="P175" s="6">
        <v>0.1</v>
      </c>
      <c r="Q175" s="6">
        <v>0.08</v>
      </c>
      <c r="R175" s="6">
        <v>0.2</v>
      </c>
      <c r="S175" s="6">
        <f t="shared" si="2"/>
        <v>8.937500000000001E-2</v>
      </c>
    </row>
    <row r="176" spans="1:19" x14ac:dyDescent="0.45">
      <c r="A176" t="s">
        <v>147</v>
      </c>
      <c r="B176" t="s">
        <v>1256</v>
      </c>
      <c r="C176" s="6"/>
      <c r="D176" s="6" t="s">
        <v>1256</v>
      </c>
      <c r="E176" s="6" t="s">
        <v>1256</v>
      </c>
      <c r="F176" s="6" t="s">
        <v>1256</v>
      </c>
      <c r="G176" s="6" t="s">
        <v>1256</v>
      </c>
      <c r="H176" s="6" t="s">
        <v>1256</v>
      </c>
      <c r="I176" s="6" t="s">
        <v>1256</v>
      </c>
      <c r="J176" s="6" t="s">
        <v>1256</v>
      </c>
      <c r="K176" s="6" t="s">
        <v>1256</v>
      </c>
      <c r="L176" s="6" t="s">
        <v>1256</v>
      </c>
      <c r="M176" s="6" t="s">
        <v>1256</v>
      </c>
      <c r="N176" s="6" t="s">
        <v>1256</v>
      </c>
      <c r="O176" s="6" t="s">
        <v>1256</v>
      </c>
      <c r="P176" s="6" t="s">
        <v>1256</v>
      </c>
      <c r="Q176" s="6" t="s">
        <v>1256</v>
      </c>
      <c r="R176" s="6" t="s">
        <v>1256</v>
      </c>
      <c r="S176" s="6"/>
    </row>
    <row r="177" spans="1:19" x14ac:dyDescent="0.45">
      <c r="A177" t="s">
        <v>41</v>
      </c>
      <c r="B177" t="s">
        <v>1256</v>
      </c>
      <c r="C177" s="6"/>
      <c r="D177" s="6" t="s">
        <v>1256</v>
      </c>
      <c r="E177" s="6" t="s">
        <v>1256</v>
      </c>
      <c r="F177" s="6" t="s">
        <v>1256</v>
      </c>
      <c r="G177" s="6" t="s">
        <v>1256</v>
      </c>
      <c r="H177" s="6" t="s">
        <v>1256</v>
      </c>
      <c r="I177" s="6" t="s">
        <v>1256</v>
      </c>
      <c r="J177" s="6" t="s">
        <v>1256</v>
      </c>
      <c r="K177" s="6" t="s">
        <v>1256</v>
      </c>
      <c r="L177" s="6" t="s">
        <v>1256</v>
      </c>
      <c r="M177" s="6" t="s">
        <v>1256</v>
      </c>
      <c r="N177" s="6" t="s">
        <v>1256</v>
      </c>
      <c r="O177" s="6" t="s">
        <v>1256</v>
      </c>
      <c r="P177" s="6" t="s">
        <v>1256</v>
      </c>
      <c r="Q177" s="6" t="s">
        <v>1256</v>
      </c>
      <c r="R177" s="6" t="s">
        <v>1256</v>
      </c>
      <c r="S177" s="6"/>
    </row>
    <row r="178" spans="1:19" x14ac:dyDescent="0.45">
      <c r="B178" t="s">
        <v>1322</v>
      </c>
      <c r="C178" s="6">
        <v>0.4</v>
      </c>
      <c r="D178" s="6">
        <v>0.32</v>
      </c>
      <c r="E178" s="6">
        <v>0.3</v>
      </c>
      <c r="F178" s="6">
        <v>0.25</v>
      </c>
      <c r="G178" s="6">
        <v>0.3</v>
      </c>
      <c r="H178" s="6">
        <v>0.35</v>
      </c>
      <c r="I178" s="6">
        <v>0.32</v>
      </c>
      <c r="J178" s="6">
        <v>0.35</v>
      </c>
      <c r="K178" s="6">
        <v>0.3</v>
      </c>
      <c r="L178" s="6">
        <v>0.35</v>
      </c>
      <c r="M178" s="6">
        <v>0.28000000000000003</v>
      </c>
      <c r="N178" s="6">
        <v>0.42</v>
      </c>
      <c r="O178" s="6">
        <v>0.4</v>
      </c>
      <c r="P178" s="6">
        <v>0.28000000000000003</v>
      </c>
      <c r="Q178" s="6">
        <v>0.3</v>
      </c>
      <c r="R178" s="6">
        <v>0.4</v>
      </c>
      <c r="S178" s="6">
        <f t="shared" si="2"/>
        <v>0.33250000000000002</v>
      </c>
    </row>
    <row r="179" spans="1:19" x14ac:dyDescent="0.45">
      <c r="B179" t="s">
        <v>1323</v>
      </c>
      <c r="C179" s="6">
        <v>0.15</v>
      </c>
      <c r="D179" s="6">
        <v>0.18</v>
      </c>
      <c r="E179" s="6">
        <v>0.12</v>
      </c>
      <c r="F179" s="6">
        <v>0.2</v>
      </c>
      <c r="G179" s="6">
        <v>0.16</v>
      </c>
      <c r="H179" s="6">
        <v>0.18</v>
      </c>
      <c r="I179" s="6">
        <v>0.18</v>
      </c>
      <c r="J179" s="6">
        <v>0.15</v>
      </c>
      <c r="K179" s="6">
        <v>0.2</v>
      </c>
      <c r="L179" s="6">
        <v>0.15</v>
      </c>
      <c r="M179" s="6">
        <v>0.22</v>
      </c>
      <c r="N179" s="6">
        <v>0.15</v>
      </c>
      <c r="O179" s="6">
        <v>0.15</v>
      </c>
      <c r="P179" s="6">
        <v>0.14000000000000001</v>
      </c>
      <c r="Q179" s="6">
        <v>0.18</v>
      </c>
      <c r="R179" s="6">
        <v>0.25</v>
      </c>
      <c r="S179" s="6">
        <f t="shared" si="2"/>
        <v>0.17249999999999999</v>
      </c>
    </row>
    <row r="180" spans="1:19" x14ac:dyDescent="0.45">
      <c r="B180" t="s">
        <v>1324</v>
      </c>
      <c r="C180" s="6">
        <v>0.2</v>
      </c>
      <c r="D180" s="6">
        <v>0.16</v>
      </c>
      <c r="E180" s="6">
        <v>0.2</v>
      </c>
      <c r="F180" s="6">
        <v>0.15</v>
      </c>
      <c r="G180" s="6">
        <v>0.14000000000000001</v>
      </c>
      <c r="H180" s="6">
        <v>0.12</v>
      </c>
      <c r="I180" s="6">
        <v>0.15</v>
      </c>
      <c r="J180" s="6">
        <v>0.2</v>
      </c>
      <c r="K180" s="6">
        <v>0.15</v>
      </c>
      <c r="L180" s="6">
        <v>0.2</v>
      </c>
      <c r="M180" s="6">
        <v>0.18</v>
      </c>
      <c r="N180" s="6">
        <v>0.2</v>
      </c>
      <c r="O180" s="6">
        <v>0.15</v>
      </c>
      <c r="P180" s="6">
        <v>0.16</v>
      </c>
      <c r="Q180" s="6">
        <v>0.15</v>
      </c>
      <c r="R180" s="6">
        <v>0.3</v>
      </c>
      <c r="S180" s="6">
        <f t="shared" si="2"/>
        <v>0.17562499999999998</v>
      </c>
    </row>
    <row r="181" spans="1:19" x14ac:dyDescent="0.45">
      <c r="B181" t="s">
        <v>1325</v>
      </c>
      <c r="C181" s="6">
        <v>0.15</v>
      </c>
      <c r="D181" s="6">
        <v>0.2</v>
      </c>
      <c r="E181" s="6">
        <v>0.18</v>
      </c>
      <c r="F181" s="6">
        <v>0.2</v>
      </c>
      <c r="G181" s="6">
        <v>0.2</v>
      </c>
      <c r="H181" s="6">
        <v>0.18</v>
      </c>
      <c r="I181" s="6">
        <v>0.15</v>
      </c>
      <c r="J181" s="6">
        <v>0.12</v>
      </c>
      <c r="K181" s="6">
        <v>0.15</v>
      </c>
      <c r="L181" s="6">
        <v>0.18</v>
      </c>
      <c r="M181" s="6">
        <v>0.16</v>
      </c>
      <c r="N181" s="6">
        <v>0.12</v>
      </c>
      <c r="O181" s="6">
        <v>0.2</v>
      </c>
      <c r="P181" s="6">
        <v>0.19</v>
      </c>
      <c r="Q181" s="6">
        <v>0.17</v>
      </c>
      <c r="R181" s="6">
        <v>0.35</v>
      </c>
      <c r="S181" s="6">
        <f t="shared" si="2"/>
        <v>0.18124999999999999</v>
      </c>
    </row>
    <row r="182" spans="1:19" x14ac:dyDescent="0.45">
      <c r="B182" t="s">
        <v>1326</v>
      </c>
      <c r="C182" s="6">
        <v>0.08</v>
      </c>
      <c r="D182" s="6">
        <v>0.08</v>
      </c>
      <c r="E182" s="6">
        <v>0.12</v>
      </c>
      <c r="F182" s="6">
        <v>0.1</v>
      </c>
      <c r="G182" s="6">
        <v>0.13</v>
      </c>
      <c r="H182" s="6">
        <v>0.1</v>
      </c>
      <c r="I182" s="6">
        <v>0.12</v>
      </c>
      <c r="J182" s="6">
        <v>0.1</v>
      </c>
      <c r="K182" s="6">
        <v>0.1</v>
      </c>
      <c r="L182" s="6">
        <v>0.08</v>
      </c>
      <c r="M182" s="6">
        <v>0.12</v>
      </c>
      <c r="N182" s="6">
        <v>0.08</v>
      </c>
      <c r="O182" s="6">
        <v>7.0000000000000007E-2</v>
      </c>
      <c r="P182" s="6">
        <v>0.16</v>
      </c>
      <c r="Q182" s="6">
        <v>0.12</v>
      </c>
      <c r="R182" s="6">
        <v>0.4</v>
      </c>
      <c r="S182" s="6">
        <f t="shared" si="2"/>
        <v>0.1225</v>
      </c>
    </row>
    <row r="183" spans="1:19" x14ac:dyDescent="0.45">
      <c r="B183" t="s">
        <v>1327</v>
      </c>
      <c r="C183" s="6">
        <v>0.02</v>
      </c>
      <c r="D183" s="6">
        <v>0.04</v>
      </c>
      <c r="E183" s="6">
        <v>0.05</v>
      </c>
      <c r="F183" s="6">
        <v>0.05</v>
      </c>
      <c r="G183" s="6">
        <v>0.05</v>
      </c>
      <c r="H183" s="6">
        <v>0.05</v>
      </c>
      <c r="I183" s="6">
        <v>0.05</v>
      </c>
      <c r="J183" s="6">
        <v>0.05</v>
      </c>
      <c r="K183" s="6">
        <v>0.05</v>
      </c>
      <c r="L183" s="6">
        <v>0.02</v>
      </c>
      <c r="M183" s="6">
        <v>0.02</v>
      </c>
      <c r="N183" s="6">
        <v>0.02</v>
      </c>
      <c r="O183" s="6">
        <v>0.02</v>
      </c>
      <c r="P183" s="6">
        <v>0.05</v>
      </c>
      <c r="Q183" s="6">
        <v>0.06</v>
      </c>
      <c r="R183" s="6">
        <v>0.15</v>
      </c>
      <c r="S183" s="6">
        <f t="shared" si="2"/>
        <v>4.6875000000000007E-2</v>
      </c>
    </row>
    <row r="184" spans="1:19" x14ac:dyDescent="0.45">
      <c r="B184" t="s">
        <v>1328</v>
      </c>
      <c r="C184" s="6">
        <v>0</v>
      </c>
      <c r="D184" s="6">
        <v>0.02</v>
      </c>
      <c r="E184" s="6">
        <v>0.03</v>
      </c>
      <c r="F184" s="6">
        <v>0.05</v>
      </c>
      <c r="G184" s="6">
        <v>0.02</v>
      </c>
      <c r="H184" s="6">
        <v>0.02</v>
      </c>
      <c r="I184" s="6">
        <v>0.03</v>
      </c>
      <c r="J184" s="6">
        <v>0.03</v>
      </c>
      <c r="K184" s="6">
        <v>0.05</v>
      </c>
      <c r="L184" s="6">
        <v>0.02</v>
      </c>
      <c r="M184" s="6">
        <v>0.02</v>
      </c>
      <c r="N184" s="6">
        <v>0.01</v>
      </c>
      <c r="O184" s="6">
        <v>0.01</v>
      </c>
      <c r="P184" s="6">
        <v>0.02</v>
      </c>
      <c r="Q184" s="6">
        <v>0.02</v>
      </c>
      <c r="R184" s="6">
        <v>0.05</v>
      </c>
      <c r="S184" s="6">
        <f t="shared" si="2"/>
        <v>2.5000000000000005E-2</v>
      </c>
    </row>
    <row r="185" spans="1:19" x14ac:dyDescent="0.45">
      <c r="A185" t="s">
        <v>47</v>
      </c>
      <c r="B185" t="s">
        <v>1256</v>
      </c>
      <c r="C185" s="6"/>
      <c r="D185" s="6" t="s">
        <v>1256</v>
      </c>
      <c r="E185" s="6" t="s">
        <v>1256</v>
      </c>
      <c r="F185" s="6" t="s">
        <v>1256</v>
      </c>
      <c r="G185" s="6" t="s">
        <v>1256</v>
      </c>
      <c r="H185" s="6" t="s">
        <v>1256</v>
      </c>
      <c r="I185" s="6" t="s">
        <v>1256</v>
      </c>
      <c r="J185" s="6" t="s">
        <v>1256</v>
      </c>
      <c r="K185" s="6" t="s">
        <v>1256</v>
      </c>
      <c r="L185" s="6" t="s">
        <v>1256</v>
      </c>
      <c r="M185" s="6" t="s">
        <v>1256</v>
      </c>
      <c r="N185" s="6" t="s">
        <v>1256</v>
      </c>
      <c r="O185" s="6" t="s">
        <v>1256</v>
      </c>
      <c r="P185" s="6" t="s">
        <v>1256</v>
      </c>
      <c r="Q185" s="6" t="s">
        <v>1256</v>
      </c>
      <c r="R185" s="6" t="s">
        <v>1256</v>
      </c>
      <c r="S185" s="6"/>
    </row>
    <row r="186" spans="1:19" x14ac:dyDescent="0.45">
      <c r="B186" t="s">
        <v>1322</v>
      </c>
      <c r="C186" s="6">
        <v>0.3</v>
      </c>
      <c r="D186" s="6">
        <v>0.22</v>
      </c>
      <c r="E186" s="6">
        <v>0.22</v>
      </c>
      <c r="F186" s="6">
        <v>0.2</v>
      </c>
      <c r="G186" s="6">
        <v>0.24</v>
      </c>
      <c r="H186" s="6">
        <v>0.28000000000000003</v>
      </c>
      <c r="I186" s="6">
        <v>0.25</v>
      </c>
      <c r="J186" s="6">
        <v>0.3</v>
      </c>
      <c r="K186" s="6">
        <v>0.25</v>
      </c>
      <c r="L186" s="6">
        <v>0.25</v>
      </c>
      <c r="M186" s="6">
        <v>0.24</v>
      </c>
      <c r="N186" s="6">
        <v>0.35</v>
      </c>
      <c r="O186" s="6">
        <v>0.3</v>
      </c>
      <c r="P186" s="6">
        <v>0.22</v>
      </c>
      <c r="Q186" s="6">
        <v>0.25</v>
      </c>
      <c r="R186" s="6">
        <v>0.35</v>
      </c>
      <c r="S186" s="6">
        <f t="shared" si="2"/>
        <v>0.26374999999999998</v>
      </c>
    </row>
    <row r="187" spans="1:19" x14ac:dyDescent="0.45">
      <c r="B187" t="s">
        <v>1323</v>
      </c>
      <c r="C187" s="6">
        <v>0.25</v>
      </c>
      <c r="D187" s="6">
        <v>0.24</v>
      </c>
      <c r="E187" s="6">
        <v>0.15</v>
      </c>
      <c r="F187" s="6">
        <v>0.25</v>
      </c>
      <c r="G187" s="6">
        <v>0.19</v>
      </c>
      <c r="H187" s="6">
        <v>0.22</v>
      </c>
      <c r="I187" s="6">
        <v>0.12</v>
      </c>
      <c r="J187" s="6">
        <v>0.2</v>
      </c>
      <c r="K187" s="6">
        <v>0.25</v>
      </c>
      <c r="L187" s="6">
        <v>0.25</v>
      </c>
      <c r="M187" s="6">
        <v>0.26</v>
      </c>
      <c r="N187" s="6">
        <v>0.18</v>
      </c>
      <c r="O187" s="6">
        <v>0.25</v>
      </c>
      <c r="P187" s="6">
        <v>0.18</v>
      </c>
      <c r="Q187" s="6">
        <v>0.2</v>
      </c>
      <c r="R187" s="6">
        <v>0.28000000000000003</v>
      </c>
      <c r="S187" s="6">
        <f t="shared" si="2"/>
        <v>0.21687500000000004</v>
      </c>
    </row>
    <row r="188" spans="1:19" x14ac:dyDescent="0.45">
      <c r="B188" t="s">
        <v>1324</v>
      </c>
      <c r="C188" s="6">
        <v>0.15</v>
      </c>
      <c r="D188" s="6">
        <v>0.14000000000000001</v>
      </c>
      <c r="E188" s="6">
        <v>0.18</v>
      </c>
      <c r="F188" s="6">
        <v>0.15</v>
      </c>
      <c r="G188" s="6">
        <v>0.13</v>
      </c>
      <c r="H188" s="6">
        <v>0.1</v>
      </c>
      <c r="I188" s="6">
        <v>0.18</v>
      </c>
      <c r="J188" s="6">
        <v>0.18</v>
      </c>
      <c r="K188" s="6">
        <v>0.15</v>
      </c>
      <c r="L188" s="6">
        <v>0.2</v>
      </c>
      <c r="M188" s="6">
        <v>0.16</v>
      </c>
      <c r="N188" s="6">
        <v>0.22</v>
      </c>
      <c r="O188" s="6">
        <v>0.15</v>
      </c>
      <c r="P188" s="6">
        <v>0.14000000000000001</v>
      </c>
      <c r="Q188" s="6">
        <v>0.14000000000000001</v>
      </c>
      <c r="R188" s="6">
        <v>0.32</v>
      </c>
      <c r="S188" s="6">
        <f t="shared" si="2"/>
        <v>0.168125</v>
      </c>
    </row>
    <row r="189" spans="1:19" x14ac:dyDescent="0.45">
      <c r="B189" t="s">
        <v>1325</v>
      </c>
      <c r="C189" s="6">
        <v>0.2</v>
      </c>
      <c r="D189" s="6">
        <v>0.2</v>
      </c>
      <c r="E189" s="6">
        <v>0.18</v>
      </c>
      <c r="F189" s="6">
        <v>0.15</v>
      </c>
      <c r="G189" s="6">
        <v>0.16</v>
      </c>
      <c r="H189" s="6">
        <v>0.16</v>
      </c>
      <c r="I189" s="6">
        <v>0.18</v>
      </c>
      <c r="J189" s="6">
        <v>0.15</v>
      </c>
      <c r="K189" s="6">
        <v>0.1</v>
      </c>
      <c r="L189" s="6">
        <v>0.15</v>
      </c>
      <c r="M189" s="6">
        <v>0.18</v>
      </c>
      <c r="N189" s="6">
        <v>0.15</v>
      </c>
      <c r="O189" s="6">
        <v>0.15</v>
      </c>
      <c r="P189" s="6">
        <v>0.16</v>
      </c>
      <c r="Q189" s="6">
        <v>0.15</v>
      </c>
      <c r="R189" s="6">
        <v>0.4</v>
      </c>
      <c r="S189" s="6">
        <f t="shared" si="2"/>
        <v>0.17624999999999999</v>
      </c>
    </row>
    <row r="190" spans="1:19" x14ac:dyDescent="0.45">
      <c r="B190" t="s">
        <v>1326</v>
      </c>
      <c r="C190" s="6">
        <v>0.05</v>
      </c>
      <c r="D190" s="6">
        <v>0.08</v>
      </c>
      <c r="E190" s="6">
        <v>0.12</v>
      </c>
      <c r="F190" s="6">
        <v>0.1</v>
      </c>
      <c r="G190" s="6">
        <v>0.1</v>
      </c>
      <c r="H190" s="6">
        <v>0.08</v>
      </c>
      <c r="I190" s="6">
        <v>0.15</v>
      </c>
      <c r="J190" s="6">
        <v>0.08</v>
      </c>
      <c r="K190" s="6">
        <v>0.1</v>
      </c>
      <c r="L190" s="6">
        <v>0.08</v>
      </c>
      <c r="M190" s="6">
        <v>0.12</v>
      </c>
      <c r="N190" s="6">
        <v>0.05</v>
      </c>
      <c r="O190" s="6">
        <v>0.05</v>
      </c>
      <c r="P190" s="6">
        <v>0.14000000000000001</v>
      </c>
      <c r="Q190" s="6">
        <v>0.12</v>
      </c>
      <c r="R190" s="6">
        <v>0.25</v>
      </c>
      <c r="S190" s="6">
        <f t="shared" si="2"/>
        <v>0.104375</v>
      </c>
    </row>
    <row r="191" spans="1:19" x14ac:dyDescent="0.45">
      <c r="B191" t="s">
        <v>1327</v>
      </c>
      <c r="C191" s="6">
        <v>0.05</v>
      </c>
      <c r="D191" s="6">
        <v>0.1</v>
      </c>
      <c r="E191" s="6">
        <v>0.1</v>
      </c>
      <c r="F191" s="6">
        <v>0.1</v>
      </c>
      <c r="G191" s="6">
        <v>0.16</v>
      </c>
      <c r="H191" s="6">
        <v>0.12</v>
      </c>
      <c r="I191" s="6">
        <v>0.08</v>
      </c>
      <c r="J191" s="6">
        <v>7.0000000000000007E-2</v>
      </c>
      <c r="K191" s="6">
        <v>0.1</v>
      </c>
      <c r="L191" s="6">
        <v>0.05</v>
      </c>
      <c r="M191" s="6">
        <v>0.02</v>
      </c>
      <c r="N191" s="6">
        <v>0.04</v>
      </c>
      <c r="O191" s="6">
        <v>0.09</v>
      </c>
      <c r="P191" s="6">
        <v>0.14000000000000001</v>
      </c>
      <c r="Q191" s="6">
        <v>0.08</v>
      </c>
      <c r="R191" s="6">
        <v>0.2</v>
      </c>
      <c r="S191" s="6">
        <f t="shared" si="2"/>
        <v>9.3750000000000014E-2</v>
      </c>
    </row>
    <row r="192" spans="1:19" x14ac:dyDescent="0.45">
      <c r="B192" t="s">
        <v>1328</v>
      </c>
      <c r="C192" s="6">
        <v>0</v>
      </c>
      <c r="D192" s="6">
        <v>0.02</v>
      </c>
      <c r="E192" s="6">
        <v>0.05</v>
      </c>
      <c r="F192" s="6">
        <v>0.05</v>
      </c>
      <c r="G192" s="6">
        <v>0.02</v>
      </c>
      <c r="H192" s="6">
        <v>0.04</v>
      </c>
      <c r="I192" s="6">
        <v>0.04</v>
      </c>
      <c r="J192" s="6">
        <v>0.02</v>
      </c>
      <c r="K192" s="6">
        <v>0.05</v>
      </c>
      <c r="L192" s="6">
        <v>0.02</v>
      </c>
      <c r="M192" s="6">
        <v>0.02</v>
      </c>
      <c r="N192" s="6">
        <v>0.01</v>
      </c>
      <c r="O192" s="6">
        <v>0.01</v>
      </c>
      <c r="P192" s="6">
        <v>0.02</v>
      </c>
      <c r="Q192" s="6">
        <v>0.06</v>
      </c>
      <c r="R192" s="6">
        <v>0.03</v>
      </c>
      <c r="S192" s="6">
        <f t="shared" si="2"/>
        <v>2.8750000000000005E-2</v>
      </c>
    </row>
    <row r="193" spans="1:19" x14ac:dyDescent="0.45">
      <c r="A193" t="s">
        <v>53</v>
      </c>
      <c r="B193" t="s">
        <v>1256</v>
      </c>
      <c r="C193" s="6"/>
      <c r="D193" s="6" t="s">
        <v>1256</v>
      </c>
      <c r="E193" s="6" t="s">
        <v>1256</v>
      </c>
      <c r="F193" s="6" t="s">
        <v>1256</v>
      </c>
      <c r="G193" s="6" t="s">
        <v>1256</v>
      </c>
      <c r="H193" s="6" t="s">
        <v>1256</v>
      </c>
      <c r="I193" s="6" t="s">
        <v>1256</v>
      </c>
      <c r="J193" s="6" t="s">
        <v>1256</v>
      </c>
      <c r="K193" s="6" t="s">
        <v>1256</v>
      </c>
      <c r="L193" s="6" t="s">
        <v>1256</v>
      </c>
      <c r="M193" s="6" t="s">
        <v>1256</v>
      </c>
      <c r="N193" s="6" t="s">
        <v>1256</v>
      </c>
      <c r="O193" s="6" t="s">
        <v>1256</v>
      </c>
      <c r="P193" s="6" t="s">
        <v>1256</v>
      </c>
      <c r="Q193" s="6" t="s">
        <v>1256</v>
      </c>
      <c r="R193" s="6" t="s">
        <v>1256</v>
      </c>
      <c r="S193" s="6"/>
    </row>
    <row r="194" spans="1:19" x14ac:dyDescent="0.45">
      <c r="B194" t="s">
        <v>1322</v>
      </c>
      <c r="C194" s="6">
        <v>0.35</v>
      </c>
      <c r="D194" s="6">
        <v>0.28000000000000003</v>
      </c>
      <c r="E194" s="6">
        <v>0.28000000000000003</v>
      </c>
      <c r="F194" s="6">
        <v>0.3</v>
      </c>
      <c r="G194" s="6">
        <v>0.27</v>
      </c>
      <c r="H194" s="6">
        <v>0.32</v>
      </c>
      <c r="I194" s="6">
        <v>0.3</v>
      </c>
      <c r="J194" s="6">
        <v>0.4</v>
      </c>
      <c r="K194" s="6">
        <v>0.35</v>
      </c>
      <c r="L194" s="6">
        <v>0.25</v>
      </c>
      <c r="M194" s="6">
        <v>0.32</v>
      </c>
      <c r="N194" s="6">
        <v>0.45</v>
      </c>
      <c r="O194" s="6">
        <v>0.35</v>
      </c>
      <c r="P194" s="6">
        <v>0.26</v>
      </c>
      <c r="Q194" s="6">
        <v>0.28000000000000003</v>
      </c>
      <c r="R194" s="6">
        <v>0.45</v>
      </c>
      <c r="S194" s="6">
        <f t="shared" si="2"/>
        <v>0.325625</v>
      </c>
    </row>
    <row r="195" spans="1:19" x14ac:dyDescent="0.45">
      <c r="B195" t="s">
        <v>1323</v>
      </c>
      <c r="C195" s="6">
        <v>0.15</v>
      </c>
      <c r="D195" s="6">
        <v>0.16</v>
      </c>
      <c r="E195" s="6">
        <v>0.1</v>
      </c>
      <c r="F195" s="6">
        <v>0.15</v>
      </c>
      <c r="G195" s="6">
        <v>0.15</v>
      </c>
      <c r="H195" s="6">
        <v>0.15</v>
      </c>
      <c r="I195" s="6">
        <v>0.1</v>
      </c>
      <c r="J195" s="6">
        <v>0.1</v>
      </c>
      <c r="K195" s="6">
        <v>0.15</v>
      </c>
      <c r="L195" s="6">
        <v>0.15</v>
      </c>
      <c r="M195" s="6">
        <v>0.18</v>
      </c>
      <c r="N195" s="6">
        <v>0.1</v>
      </c>
      <c r="O195" s="6">
        <v>0.15</v>
      </c>
      <c r="P195" s="6">
        <v>0.12</v>
      </c>
      <c r="Q195" s="6">
        <v>0.2</v>
      </c>
      <c r="R195" s="6">
        <v>0.2</v>
      </c>
      <c r="S195" s="6">
        <f t="shared" si="2"/>
        <v>0.144375</v>
      </c>
    </row>
    <row r="196" spans="1:19" x14ac:dyDescent="0.45">
      <c r="B196" t="s">
        <v>1324</v>
      </c>
      <c r="C196" s="6">
        <v>0.25</v>
      </c>
      <c r="D196" s="6">
        <v>0.2</v>
      </c>
      <c r="E196" s="6">
        <v>0.25</v>
      </c>
      <c r="F196" s="6">
        <v>0.2</v>
      </c>
      <c r="G196" s="6">
        <v>0.18</v>
      </c>
      <c r="H196" s="6">
        <v>0.15</v>
      </c>
      <c r="I196" s="6">
        <v>0.22</v>
      </c>
      <c r="J196" s="6">
        <v>0.25</v>
      </c>
      <c r="K196" s="6">
        <v>0.2</v>
      </c>
      <c r="L196" s="6">
        <v>0.3</v>
      </c>
      <c r="M196" s="6">
        <v>0.24</v>
      </c>
      <c r="N196" s="6">
        <v>0.25</v>
      </c>
      <c r="O196" s="6">
        <v>0.2</v>
      </c>
      <c r="P196" s="6">
        <v>0.18</v>
      </c>
      <c r="Q196" s="6">
        <v>0.16</v>
      </c>
      <c r="R196" s="6">
        <v>0.25</v>
      </c>
      <c r="S196" s="6">
        <f t="shared" si="2"/>
        <v>0.2175</v>
      </c>
    </row>
    <row r="197" spans="1:19" x14ac:dyDescent="0.45">
      <c r="B197" t="s">
        <v>1325</v>
      </c>
      <c r="C197" s="6">
        <v>0.1</v>
      </c>
      <c r="D197" s="6">
        <v>0.18</v>
      </c>
      <c r="E197" s="6">
        <v>0.15</v>
      </c>
      <c r="F197" s="6">
        <v>0.15</v>
      </c>
      <c r="G197" s="6">
        <v>0.19</v>
      </c>
      <c r="H197" s="6">
        <v>0.16</v>
      </c>
      <c r="I197" s="6">
        <v>0.2</v>
      </c>
      <c r="J197" s="6">
        <v>0.12</v>
      </c>
      <c r="K197" s="6">
        <v>0.15</v>
      </c>
      <c r="L197" s="6">
        <v>0.2</v>
      </c>
      <c r="M197" s="6">
        <v>0.14000000000000001</v>
      </c>
      <c r="N197" s="6">
        <v>0.1</v>
      </c>
      <c r="O197" s="6">
        <v>0.15</v>
      </c>
      <c r="P197" s="6">
        <v>0.2</v>
      </c>
      <c r="Q197" s="6">
        <v>0.14000000000000001</v>
      </c>
      <c r="R197" s="6">
        <v>0.3</v>
      </c>
      <c r="S197" s="6">
        <f t="shared" ref="S197:S204" si="3">AVERAGE(C197:R197)</f>
        <v>0.16437499999999999</v>
      </c>
    </row>
    <row r="198" spans="1:19" x14ac:dyDescent="0.45">
      <c r="B198" t="s">
        <v>1326</v>
      </c>
      <c r="C198" s="6">
        <v>0.1</v>
      </c>
      <c r="D198" s="6">
        <v>0.12</v>
      </c>
      <c r="E198" s="6">
        <v>0.14000000000000001</v>
      </c>
      <c r="F198" s="6">
        <v>0.1</v>
      </c>
      <c r="G198" s="6">
        <v>0.14000000000000001</v>
      </c>
      <c r="H198" s="6">
        <v>0.12</v>
      </c>
      <c r="I198" s="6">
        <v>0.1</v>
      </c>
      <c r="J198" s="6">
        <v>0.08</v>
      </c>
      <c r="K198" s="6">
        <v>0.1</v>
      </c>
      <c r="L198" s="6">
        <v>0.05</v>
      </c>
      <c r="M198" s="6">
        <v>0.08</v>
      </c>
      <c r="N198" s="6">
        <v>0.05</v>
      </c>
      <c r="O198" s="6">
        <v>0.1</v>
      </c>
      <c r="P198" s="6">
        <v>0.19</v>
      </c>
      <c r="Q198" s="6">
        <v>0.12</v>
      </c>
      <c r="R198" s="6">
        <v>0.2</v>
      </c>
      <c r="S198" s="6">
        <f t="shared" si="3"/>
        <v>0.11187499999999999</v>
      </c>
    </row>
    <row r="199" spans="1:19" x14ac:dyDescent="0.45">
      <c r="B199" t="s">
        <v>1327</v>
      </c>
      <c r="C199" s="6">
        <v>0.05</v>
      </c>
      <c r="D199" s="6">
        <v>0.04</v>
      </c>
      <c r="E199" s="6">
        <v>0.05</v>
      </c>
      <c r="F199" s="6">
        <v>0.05</v>
      </c>
      <c r="G199" s="6">
        <v>0.05</v>
      </c>
      <c r="H199" s="6">
        <v>7.0000000000000007E-2</v>
      </c>
      <c r="I199" s="6">
        <v>0.05</v>
      </c>
      <c r="J199" s="6">
        <v>0.03</v>
      </c>
      <c r="K199" s="6">
        <v>0.03</v>
      </c>
      <c r="L199" s="6">
        <v>0.03</v>
      </c>
      <c r="M199" s="6">
        <v>0.02</v>
      </c>
      <c r="N199" s="6">
        <v>0.03</v>
      </c>
      <c r="O199" s="6">
        <v>0.04</v>
      </c>
      <c r="P199" s="6">
        <v>0.04</v>
      </c>
      <c r="Q199" s="6">
        <v>0.06</v>
      </c>
      <c r="R199" s="6">
        <v>0.15</v>
      </c>
      <c r="S199" s="6">
        <f t="shared" si="3"/>
        <v>4.9375000000000009E-2</v>
      </c>
    </row>
    <row r="200" spans="1:19" x14ac:dyDescent="0.45">
      <c r="B200" t="s">
        <v>1328</v>
      </c>
      <c r="C200" s="6">
        <v>0</v>
      </c>
      <c r="D200" s="6">
        <v>0.02</v>
      </c>
      <c r="E200" s="6">
        <v>0.03</v>
      </c>
      <c r="F200" s="6">
        <v>0.05</v>
      </c>
      <c r="G200" s="6">
        <v>0.02</v>
      </c>
      <c r="H200" s="6">
        <v>0.03</v>
      </c>
      <c r="I200" s="6">
        <v>0.03</v>
      </c>
      <c r="J200" s="6">
        <v>0.02</v>
      </c>
      <c r="K200" s="6">
        <v>0.02</v>
      </c>
      <c r="L200" s="6">
        <v>0.02</v>
      </c>
      <c r="M200" s="6">
        <v>0.02</v>
      </c>
      <c r="N200" s="6">
        <v>0.02</v>
      </c>
      <c r="O200" s="6">
        <v>0.01</v>
      </c>
      <c r="P200" s="6">
        <v>0.01</v>
      </c>
      <c r="Q200" s="6">
        <v>0.04</v>
      </c>
      <c r="R200" s="6">
        <v>0.1</v>
      </c>
      <c r="S200" s="6">
        <f t="shared" si="3"/>
        <v>2.7500000000000004E-2</v>
      </c>
    </row>
    <row r="201" spans="1:19" x14ac:dyDescent="0.45">
      <c r="A201" t="s">
        <v>169</v>
      </c>
      <c r="B201" t="s">
        <v>1256</v>
      </c>
      <c r="D201" t="s">
        <v>1256</v>
      </c>
      <c r="E201" t="s">
        <v>1256</v>
      </c>
      <c r="F201" t="s">
        <v>1256</v>
      </c>
      <c r="G201" t="s">
        <v>1256</v>
      </c>
      <c r="H201" t="s">
        <v>1256</v>
      </c>
      <c r="I201" t="s">
        <v>1256</v>
      </c>
      <c r="J201" t="s">
        <v>1256</v>
      </c>
      <c r="K201" t="s">
        <v>1256</v>
      </c>
      <c r="L201" t="s">
        <v>1256</v>
      </c>
      <c r="M201" t="s">
        <v>1256</v>
      </c>
      <c r="N201" t="s">
        <v>1256</v>
      </c>
      <c r="O201" t="s">
        <v>1256</v>
      </c>
      <c r="P201" t="s">
        <v>1256</v>
      </c>
      <c r="Q201" t="s">
        <v>1256</v>
      </c>
      <c r="R201" t="s">
        <v>1256</v>
      </c>
      <c r="S201" t="e">
        <f t="shared" si="3"/>
        <v>#DIV/0!</v>
      </c>
    </row>
    <row r="202" spans="1:19" x14ac:dyDescent="0.45">
      <c r="B202" t="s">
        <v>1329</v>
      </c>
      <c r="C202">
        <v>75</v>
      </c>
      <c r="D202">
        <v>65</v>
      </c>
      <c r="E202">
        <v>55</v>
      </c>
      <c r="F202">
        <v>80</v>
      </c>
      <c r="G202">
        <v>82</v>
      </c>
      <c r="H202">
        <v>65</v>
      </c>
      <c r="I202">
        <v>70</v>
      </c>
      <c r="J202">
        <v>120</v>
      </c>
      <c r="K202">
        <v>110</v>
      </c>
      <c r="L202">
        <v>75</v>
      </c>
      <c r="M202">
        <v>88</v>
      </c>
      <c r="N202">
        <v>85</v>
      </c>
      <c r="O202">
        <v>85</v>
      </c>
      <c r="P202">
        <v>210</v>
      </c>
      <c r="Q202">
        <v>114</v>
      </c>
      <c r="R202">
        <v>1250</v>
      </c>
      <c r="S202">
        <f t="shared" si="3"/>
        <v>164.3125</v>
      </c>
    </row>
    <row r="203" spans="1:19" x14ac:dyDescent="0.45">
      <c r="B203" t="s">
        <v>1330</v>
      </c>
      <c r="C203">
        <v>52</v>
      </c>
      <c r="D203">
        <v>42</v>
      </c>
      <c r="E203">
        <v>38</v>
      </c>
      <c r="F203">
        <v>45</v>
      </c>
      <c r="G203">
        <v>49</v>
      </c>
      <c r="H203">
        <v>40</v>
      </c>
      <c r="I203">
        <v>35</v>
      </c>
      <c r="J203">
        <v>70</v>
      </c>
      <c r="K203">
        <v>60</v>
      </c>
      <c r="L203">
        <v>45</v>
      </c>
      <c r="M203">
        <v>56</v>
      </c>
      <c r="N203">
        <v>60</v>
      </c>
      <c r="O203">
        <v>60</v>
      </c>
      <c r="P203">
        <v>115</v>
      </c>
      <c r="Q203">
        <v>60</v>
      </c>
      <c r="R203">
        <v>875</v>
      </c>
      <c r="S203">
        <f t="shared" si="3"/>
        <v>106.375</v>
      </c>
    </row>
    <row r="204" spans="1:19" x14ac:dyDescent="0.45">
      <c r="B204" t="s">
        <v>1331</v>
      </c>
      <c r="C204">
        <v>23</v>
      </c>
      <c r="D204">
        <v>18</v>
      </c>
      <c r="E204">
        <v>17</v>
      </c>
      <c r="F204">
        <v>30</v>
      </c>
      <c r="G204">
        <v>27</v>
      </c>
      <c r="H204">
        <v>20</v>
      </c>
      <c r="I204">
        <v>15</v>
      </c>
      <c r="J204">
        <v>40</v>
      </c>
      <c r="K204">
        <v>30</v>
      </c>
      <c r="L204">
        <v>25</v>
      </c>
      <c r="M204">
        <v>24</v>
      </c>
      <c r="N204">
        <v>25</v>
      </c>
      <c r="O204">
        <v>25</v>
      </c>
      <c r="P204">
        <v>55</v>
      </c>
      <c r="Q204">
        <v>26</v>
      </c>
      <c r="R204">
        <v>375</v>
      </c>
      <c r="S204">
        <f t="shared" si="3"/>
        <v>48.4375</v>
      </c>
    </row>
    <row r="205" spans="1:19" x14ac:dyDescent="0.45">
      <c r="C205">
        <f>SUM(C202:C204)</f>
        <v>150</v>
      </c>
      <c r="D205">
        <f t="shared" ref="D205:S205" si="4">SUM(D202:D204)</f>
        <v>125</v>
      </c>
      <c r="E205">
        <f t="shared" si="4"/>
        <v>110</v>
      </c>
      <c r="F205">
        <f t="shared" si="4"/>
        <v>155</v>
      </c>
      <c r="G205">
        <f t="shared" si="4"/>
        <v>158</v>
      </c>
      <c r="H205">
        <f t="shared" si="4"/>
        <v>125</v>
      </c>
      <c r="I205">
        <f t="shared" si="4"/>
        <v>120</v>
      </c>
      <c r="J205">
        <f t="shared" si="4"/>
        <v>230</v>
      </c>
      <c r="K205">
        <f t="shared" si="4"/>
        <v>200</v>
      </c>
      <c r="L205">
        <f t="shared" si="4"/>
        <v>145</v>
      </c>
      <c r="M205">
        <f t="shared" si="4"/>
        <v>168</v>
      </c>
      <c r="N205">
        <f t="shared" si="4"/>
        <v>170</v>
      </c>
      <c r="O205">
        <f t="shared" si="4"/>
        <v>170</v>
      </c>
      <c r="P205">
        <f t="shared" si="4"/>
        <v>380</v>
      </c>
      <c r="Q205">
        <f t="shared" si="4"/>
        <v>200</v>
      </c>
      <c r="R205">
        <f t="shared" si="4"/>
        <v>2500</v>
      </c>
      <c r="S205">
        <f t="shared" si="4"/>
        <v>319.125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E094-E404-4BDC-9F21-094A2B153DF9}">
  <dimension ref="A1:H205"/>
  <sheetViews>
    <sheetView tabSelected="1" topLeftCell="A172" zoomScale="130" zoomScaleNormal="130" workbookViewId="0">
      <selection activeCell="I205" sqref="I205"/>
    </sheetView>
  </sheetViews>
  <sheetFormatPr defaultRowHeight="14.25" x14ac:dyDescent="0.45"/>
  <cols>
    <col min="1" max="1" width="83.6640625" customWidth="1"/>
    <col min="2" max="2" width="25.9296875" customWidth="1"/>
    <col min="3" max="3" width="12.53125" bestFit="1" customWidth="1"/>
    <col min="4" max="4" width="14" bestFit="1" customWidth="1"/>
    <col min="5" max="5" width="8.796875" customWidth="1"/>
    <col min="6" max="6" width="9.265625" customWidth="1"/>
  </cols>
  <sheetData>
    <row r="1" spans="1:8" x14ac:dyDescent="0.45">
      <c r="A1" t="s">
        <v>1332</v>
      </c>
      <c r="B1" t="s">
        <v>1333</v>
      </c>
    </row>
    <row r="2" spans="1:8" x14ac:dyDescent="0.45">
      <c r="C2" t="s">
        <v>173</v>
      </c>
      <c r="D2" t="s">
        <v>597</v>
      </c>
      <c r="E2" t="s">
        <v>411</v>
      </c>
      <c r="F2" t="s">
        <v>412</v>
      </c>
      <c r="G2" t="s">
        <v>1334</v>
      </c>
    </row>
    <row r="3" spans="1:8" x14ac:dyDescent="0.45">
      <c r="A3" t="s">
        <v>2</v>
      </c>
      <c r="C3" t="s">
        <v>1256</v>
      </c>
      <c r="D3" t="s">
        <v>1256</v>
      </c>
      <c r="E3" t="s">
        <v>1256</v>
      </c>
      <c r="F3" t="s">
        <v>1256</v>
      </c>
    </row>
    <row r="4" spans="1:8" x14ac:dyDescent="0.45">
      <c r="B4" t="s">
        <v>1257</v>
      </c>
      <c r="C4" s="6">
        <v>0.15</v>
      </c>
      <c r="D4" s="6">
        <v>0.12</v>
      </c>
      <c r="E4" s="6">
        <v>0.2</v>
      </c>
      <c r="F4" s="6">
        <v>0.12</v>
      </c>
      <c r="G4" s="6">
        <f>AVERAGE(C4:F4)</f>
        <v>0.14750000000000002</v>
      </c>
      <c r="H4" s="7">
        <f>MAX(C4:F4)-MIN(C4:F4)</f>
        <v>8.0000000000000016E-2</v>
      </c>
    </row>
    <row r="5" spans="1:8" x14ac:dyDescent="0.45">
      <c r="B5" t="s">
        <v>1259</v>
      </c>
      <c r="C5" s="6">
        <v>0.12</v>
      </c>
      <c r="D5" s="6">
        <v>0.1</v>
      </c>
      <c r="E5" s="6">
        <v>0.1</v>
      </c>
      <c r="F5" s="6">
        <v>0.11</v>
      </c>
      <c r="G5" s="6">
        <f>AVERAGE(C5:F5)</f>
        <v>0.1075</v>
      </c>
      <c r="H5" s="7">
        <f t="shared" ref="H5:H68" si="0">MAX(C5:F5)-MIN(C5:F5)</f>
        <v>1.999999999999999E-2</v>
      </c>
    </row>
    <row r="6" spans="1:8" x14ac:dyDescent="0.45">
      <c r="B6" t="s">
        <v>1260</v>
      </c>
      <c r="C6" s="6">
        <v>0.05</v>
      </c>
      <c r="D6" s="6">
        <v>0.04</v>
      </c>
      <c r="E6" s="6">
        <v>0.05</v>
      </c>
      <c r="F6" s="6">
        <v>0.03</v>
      </c>
      <c r="G6" s="6">
        <f>AVERAGE(C6:F6)</f>
        <v>4.2500000000000003E-2</v>
      </c>
      <c r="H6" s="7">
        <f t="shared" si="0"/>
        <v>2.0000000000000004E-2</v>
      </c>
    </row>
    <row r="7" spans="1:8" x14ac:dyDescent="0.45">
      <c r="B7" t="s">
        <v>1262</v>
      </c>
      <c r="C7" s="6">
        <v>0.1</v>
      </c>
      <c r="D7" s="6">
        <v>0.15</v>
      </c>
      <c r="E7" s="6">
        <v>0.08</v>
      </c>
      <c r="F7" s="6">
        <v>0.12</v>
      </c>
      <c r="G7" s="6">
        <f>AVERAGE(C7:F7)</f>
        <v>0.1125</v>
      </c>
      <c r="H7" s="7">
        <f t="shared" si="0"/>
        <v>6.9999999999999993E-2</v>
      </c>
    </row>
    <row r="8" spans="1:8" x14ac:dyDescent="0.45">
      <c r="B8" t="s">
        <v>1261</v>
      </c>
      <c r="C8" s="6">
        <v>0.18</v>
      </c>
      <c r="D8" s="6">
        <v>0.18</v>
      </c>
      <c r="E8" s="6">
        <v>0.25</v>
      </c>
      <c r="F8" s="6">
        <v>0.23</v>
      </c>
      <c r="G8" s="6">
        <f>AVERAGE(C8:F8)</f>
        <v>0.21</v>
      </c>
      <c r="H8" s="7">
        <f t="shared" si="0"/>
        <v>7.0000000000000007E-2</v>
      </c>
    </row>
    <row r="9" spans="1:8" x14ac:dyDescent="0.45">
      <c r="B9" t="s">
        <v>1263</v>
      </c>
      <c r="C9" s="6">
        <v>0.1</v>
      </c>
      <c r="D9" s="6">
        <v>0.12</v>
      </c>
      <c r="E9" s="6">
        <v>7.0000000000000007E-2</v>
      </c>
      <c r="F9" s="6">
        <v>0.08</v>
      </c>
      <c r="G9" s="6">
        <f>AVERAGE(C9:F9)</f>
        <v>9.2500000000000013E-2</v>
      </c>
      <c r="H9" s="7">
        <f t="shared" si="0"/>
        <v>4.9999999999999989E-2</v>
      </c>
    </row>
    <row r="10" spans="1:8" x14ac:dyDescent="0.45">
      <c r="B10" t="s">
        <v>1264</v>
      </c>
      <c r="C10" s="6">
        <v>0.12</v>
      </c>
      <c r="D10" s="6">
        <v>0.12</v>
      </c>
      <c r="E10" s="6">
        <v>0.1</v>
      </c>
      <c r="F10" s="6">
        <v>0.12</v>
      </c>
      <c r="G10" s="6">
        <f>AVERAGE(C10:F10)</f>
        <v>0.11499999999999999</v>
      </c>
      <c r="H10" s="7">
        <f t="shared" si="0"/>
        <v>1.999999999999999E-2</v>
      </c>
    </row>
    <row r="11" spans="1:8" x14ac:dyDescent="0.45">
      <c r="B11" t="s">
        <v>1258</v>
      </c>
      <c r="C11" s="6">
        <v>0.18</v>
      </c>
      <c r="D11" s="6">
        <v>0.17</v>
      </c>
      <c r="E11" s="6">
        <v>0.15</v>
      </c>
      <c r="F11" s="6">
        <v>0.19</v>
      </c>
      <c r="G11" s="6">
        <f>AVERAGE(C11:F11)</f>
        <v>0.17249999999999999</v>
      </c>
      <c r="H11" s="7">
        <f t="shared" si="0"/>
        <v>4.0000000000000008E-2</v>
      </c>
    </row>
    <row r="12" spans="1:8" x14ac:dyDescent="0.45">
      <c r="A12" t="s">
        <v>11</v>
      </c>
      <c r="B12" t="s">
        <v>1256</v>
      </c>
      <c r="C12" s="6"/>
      <c r="D12" s="6" t="s">
        <v>1256</v>
      </c>
      <c r="E12" s="6" t="s">
        <v>1256</v>
      </c>
      <c r="F12" s="6" t="s">
        <v>1256</v>
      </c>
      <c r="G12" s="6" t="s">
        <v>1256</v>
      </c>
      <c r="H12" s="7"/>
    </row>
    <row r="13" spans="1:8" x14ac:dyDescent="0.45">
      <c r="B13" t="s">
        <v>1265</v>
      </c>
      <c r="C13" s="6">
        <v>0.25</v>
      </c>
      <c r="D13" s="6">
        <v>0.15</v>
      </c>
      <c r="E13" s="6">
        <v>0.15</v>
      </c>
      <c r="F13" s="6">
        <v>0.14000000000000001</v>
      </c>
      <c r="G13" s="6">
        <f>AVERAGE(C13:F13)</f>
        <v>0.17250000000000001</v>
      </c>
      <c r="H13" s="7">
        <f t="shared" si="0"/>
        <v>0.10999999999999999</v>
      </c>
    </row>
    <row r="14" spans="1:8" x14ac:dyDescent="0.45">
      <c r="B14" t="s">
        <v>1267</v>
      </c>
      <c r="C14" s="6">
        <v>0.12</v>
      </c>
      <c r="D14" s="6">
        <v>0.06</v>
      </c>
      <c r="E14" s="6">
        <v>0.1</v>
      </c>
      <c r="F14" s="6">
        <v>7.0000000000000007E-2</v>
      </c>
      <c r="G14" s="6">
        <f>AVERAGE(C14:F14)</f>
        <v>8.7500000000000008E-2</v>
      </c>
      <c r="H14" s="7">
        <f t="shared" si="0"/>
        <v>0.06</v>
      </c>
    </row>
    <row r="15" spans="1:8" x14ac:dyDescent="0.45">
      <c r="B15" t="s">
        <v>1269</v>
      </c>
      <c r="C15" s="6">
        <v>0.05</v>
      </c>
      <c r="D15" s="6">
        <v>0.03</v>
      </c>
      <c r="E15" s="6">
        <v>0.05</v>
      </c>
      <c r="F15" s="6">
        <v>0.05</v>
      </c>
      <c r="G15" s="6">
        <f>AVERAGE(C15:F15)</f>
        <v>4.4999999999999998E-2</v>
      </c>
      <c r="H15" s="7">
        <f t="shared" si="0"/>
        <v>2.0000000000000004E-2</v>
      </c>
    </row>
    <row r="16" spans="1:8" x14ac:dyDescent="0.45">
      <c r="B16" t="s">
        <v>1271</v>
      </c>
      <c r="C16" s="6">
        <v>0.08</v>
      </c>
      <c r="D16" s="6">
        <v>0.08</v>
      </c>
      <c r="E16" s="6">
        <v>0.1</v>
      </c>
      <c r="F16" s="6">
        <v>0.06</v>
      </c>
      <c r="G16" s="6">
        <f>AVERAGE(C16:F16)</f>
        <v>0.08</v>
      </c>
      <c r="H16" s="7">
        <f t="shared" si="0"/>
        <v>4.0000000000000008E-2</v>
      </c>
    </row>
    <row r="17" spans="1:8" x14ac:dyDescent="0.45">
      <c r="B17" t="s">
        <v>1268</v>
      </c>
      <c r="C17" s="6">
        <v>0.1</v>
      </c>
      <c r="D17" s="6">
        <v>0.12</v>
      </c>
      <c r="E17" s="6">
        <v>0.2</v>
      </c>
      <c r="F17" s="6">
        <v>0.28000000000000003</v>
      </c>
      <c r="G17" s="6">
        <f>AVERAGE(C17:F17)</f>
        <v>0.17500000000000002</v>
      </c>
      <c r="H17" s="7">
        <f t="shared" si="0"/>
        <v>0.18000000000000002</v>
      </c>
    </row>
    <row r="18" spans="1:8" x14ac:dyDescent="0.45">
      <c r="B18" t="s">
        <v>1272</v>
      </c>
      <c r="C18" s="6">
        <v>0.05</v>
      </c>
      <c r="D18" s="6">
        <v>7.0000000000000007E-2</v>
      </c>
      <c r="E18" s="6">
        <v>0.1</v>
      </c>
      <c r="F18" s="6">
        <v>0.08</v>
      </c>
      <c r="G18" s="6">
        <f>AVERAGE(C18:F18)</f>
        <v>7.5000000000000011E-2</v>
      </c>
      <c r="H18" s="7">
        <f t="shared" si="0"/>
        <v>0.05</v>
      </c>
    </row>
    <row r="19" spans="1:8" x14ac:dyDescent="0.45">
      <c r="B19" t="s">
        <v>1273</v>
      </c>
      <c r="C19" s="6">
        <v>0.03</v>
      </c>
      <c r="D19" s="6">
        <v>0.04</v>
      </c>
      <c r="E19" s="6">
        <v>0.05</v>
      </c>
      <c r="F19" s="6">
        <v>0.05</v>
      </c>
      <c r="G19" s="6">
        <f>AVERAGE(C19:F19)</f>
        <v>4.2500000000000003E-2</v>
      </c>
      <c r="H19" s="7">
        <f t="shared" si="0"/>
        <v>2.0000000000000004E-2</v>
      </c>
    </row>
    <row r="20" spans="1:8" x14ac:dyDescent="0.45">
      <c r="B20" t="s">
        <v>1266</v>
      </c>
      <c r="C20" s="6">
        <v>0.2</v>
      </c>
      <c r="D20" s="6">
        <v>0.3</v>
      </c>
      <c r="E20" s="6">
        <v>0.15</v>
      </c>
      <c r="F20" s="6">
        <v>0.17</v>
      </c>
      <c r="G20" s="6">
        <f>AVERAGE(C20:F20)</f>
        <v>0.20500000000000002</v>
      </c>
      <c r="H20" s="7">
        <f t="shared" si="0"/>
        <v>0.15</v>
      </c>
    </row>
    <row r="21" spans="1:8" x14ac:dyDescent="0.45">
      <c r="B21" t="s">
        <v>1270</v>
      </c>
      <c r="C21" s="6">
        <v>0.12</v>
      </c>
      <c r="D21" s="6">
        <v>0.15</v>
      </c>
      <c r="E21" s="6">
        <v>0.1</v>
      </c>
      <c r="F21" s="6">
        <v>0.1</v>
      </c>
      <c r="G21" s="6">
        <f>AVERAGE(C21:F21)</f>
        <v>0.11749999999999999</v>
      </c>
      <c r="H21" s="7">
        <f t="shared" si="0"/>
        <v>4.9999999999999989E-2</v>
      </c>
    </row>
    <row r="22" spans="1:8" x14ac:dyDescent="0.45">
      <c r="A22" t="s">
        <v>21</v>
      </c>
      <c r="B22" t="s">
        <v>1256</v>
      </c>
      <c r="C22" s="6"/>
      <c r="D22" s="6" t="s">
        <v>1256</v>
      </c>
      <c r="E22" s="6" t="s">
        <v>1256</v>
      </c>
      <c r="F22" s="6" t="s">
        <v>1256</v>
      </c>
      <c r="G22" s="6"/>
      <c r="H22" s="7"/>
    </row>
    <row r="23" spans="1:8" x14ac:dyDescent="0.45">
      <c r="B23" t="s">
        <v>1274</v>
      </c>
      <c r="C23" s="6">
        <v>0.15</v>
      </c>
      <c r="D23" s="6">
        <v>0.18</v>
      </c>
      <c r="E23" s="6">
        <v>0.15</v>
      </c>
      <c r="F23" s="6">
        <v>0.14000000000000001</v>
      </c>
      <c r="G23" s="6">
        <f>AVERAGE(C23:F23)</f>
        <v>0.155</v>
      </c>
      <c r="H23" s="7">
        <f t="shared" si="0"/>
        <v>3.999999999999998E-2</v>
      </c>
    </row>
    <row r="24" spans="1:8" x14ac:dyDescent="0.45">
      <c r="B24" t="s">
        <v>1275</v>
      </c>
      <c r="C24" s="6">
        <v>0.25</v>
      </c>
      <c r="D24" s="6">
        <v>0.22</v>
      </c>
      <c r="E24" s="6">
        <v>0.2</v>
      </c>
      <c r="F24" s="6">
        <v>0.24</v>
      </c>
      <c r="G24" s="6">
        <f>AVERAGE(C24:F24)</f>
        <v>0.22749999999999998</v>
      </c>
      <c r="H24" s="7">
        <f t="shared" si="0"/>
        <v>4.9999999999999989E-2</v>
      </c>
    </row>
    <row r="25" spans="1:8" x14ac:dyDescent="0.45">
      <c r="B25" t="s">
        <v>1276</v>
      </c>
      <c r="C25" s="6">
        <v>0.2</v>
      </c>
      <c r="D25" s="6">
        <v>0.2</v>
      </c>
      <c r="E25" s="6">
        <v>0.2</v>
      </c>
      <c r="F25" s="6">
        <v>0.21</v>
      </c>
      <c r="G25" s="6">
        <f>AVERAGE(C25:F25)</f>
        <v>0.20250000000000001</v>
      </c>
      <c r="H25" s="7">
        <f t="shared" si="0"/>
        <v>9.9999999999999811E-3</v>
      </c>
    </row>
    <row r="26" spans="1:8" x14ac:dyDescent="0.45">
      <c r="B26" t="s">
        <v>1277</v>
      </c>
      <c r="C26" s="6">
        <v>0.18</v>
      </c>
      <c r="D26" s="6">
        <v>0.17</v>
      </c>
      <c r="E26" s="6">
        <v>0.15</v>
      </c>
      <c r="F26" s="6">
        <v>0.18</v>
      </c>
      <c r="G26" s="6">
        <f>AVERAGE(C26:F26)</f>
        <v>0.16999999999999998</v>
      </c>
      <c r="H26" s="7">
        <f t="shared" si="0"/>
        <v>0.03</v>
      </c>
    </row>
    <row r="27" spans="1:8" x14ac:dyDescent="0.45">
      <c r="B27" t="s">
        <v>1278</v>
      </c>
      <c r="C27" s="6">
        <v>0.12</v>
      </c>
      <c r="D27" s="6">
        <v>0.13</v>
      </c>
      <c r="E27" s="6">
        <v>0.15</v>
      </c>
      <c r="F27" s="6">
        <v>0.15</v>
      </c>
      <c r="G27" s="6">
        <f>AVERAGE(C27:F27)</f>
        <v>0.13750000000000001</v>
      </c>
      <c r="H27" s="7">
        <f t="shared" si="0"/>
        <v>0.03</v>
      </c>
    </row>
    <row r="28" spans="1:8" x14ac:dyDescent="0.45">
      <c r="B28" t="s">
        <v>1279</v>
      </c>
      <c r="C28" s="6">
        <v>0.1</v>
      </c>
      <c r="D28" s="6">
        <v>0.1</v>
      </c>
      <c r="E28" s="6">
        <v>0.15</v>
      </c>
      <c r="F28" s="6">
        <v>0.08</v>
      </c>
      <c r="G28" s="6">
        <f>AVERAGE(C28:F28)</f>
        <v>0.1075</v>
      </c>
      <c r="H28" s="7">
        <f t="shared" si="0"/>
        <v>6.9999999999999993E-2</v>
      </c>
    </row>
    <row r="29" spans="1:8" x14ac:dyDescent="0.45">
      <c r="A29" t="s">
        <v>28</v>
      </c>
      <c r="B29" t="s">
        <v>1256</v>
      </c>
      <c r="C29" s="6"/>
      <c r="D29" s="6" t="s">
        <v>1256</v>
      </c>
      <c r="E29" s="6" t="s">
        <v>1256</v>
      </c>
      <c r="F29" s="6" t="s">
        <v>1256</v>
      </c>
      <c r="G29" s="6"/>
      <c r="H29" s="7"/>
    </row>
    <row r="30" spans="1:8" x14ac:dyDescent="0.45">
      <c r="B30" t="s">
        <v>1280</v>
      </c>
      <c r="C30" s="6">
        <v>0.1</v>
      </c>
      <c r="D30" s="6">
        <v>0.08</v>
      </c>
      <c r="E30" s="6">
        <v>0.1</v>
      </c>
      <c r="F30" s="6">
        <v>0.06</v>
      </c>
      <c r="G30" s="6">
        <f>AVERAGE(C30:F30)</f>
        <v>8.5000000000000006E-2</v>
      </c>
      <c r="H30" s="7">
        <f t="shared" si="0"/>
        <v>4.0000000000000008E-2</v>
      </c>
    </row>
    <row r="31" spans="1:8" x14ac:dyDescent="0.45">
      <c r="B31" t="s">
        <v>1281</v>
      </c>
      <c r="C31" s="6">
        <v>0.18</v>
      </c>
      <c r="D31" s="6">
        <v>0.18</v>
      </c>
      <c r="E31" s="6">
        <v>0.15</v>
      </c>
      <c r="F31" s="6">
        <v>0.13</v>
      </c>
      <c r="G31" s="6">
        <f>AVERAGE(C31:F31)</f>
        <v>0.16</v>
      </c>
      <c r="H31" s="7">
        <f t="shared" si="0"/>
        <v>4.9999999999999989E-2</v>
      </c>
    </row>
    <row r="32" spans="1:8" x14ac:dyDescent="0.45">
      <c r="B32" t="s">
        <v>1282</v>
      </c>
      <c r="C32" s="6">
        <v>0.22</v>
      </c>
      <c r="D32" s="6">
        <v>0.22</v>
      </c>
      <c r="E32" s="6">
        <v>0.2</v>
      </c>
      <c r="F32" s="6">
        <v>0.21</v>
      </c>
      <c r="G32" s="6">
        <f>AVERAGE(C32:F32)</f>
        <v>0.21249999999999999</v>
      </c>
      <c r="H32" s="7">
        <f t="shared" si="0"/>
        <v>1.999999999999999E-2</v>
      </c>
    </row>
    <row r="33" spans="1:8" x14ac:dyDescent="0.45">
      <c r="B33" t="s">
        <v>1283</v>
      </c>
      <c r="C33" s="6">
        <v>0.2</v>
      </c>
      <c r="D33" s="6">
        <v>0.2</v>
      </c>
      <c r="E33" s="6">
        <v>0.2</v>
      </c>
      <c r="F33" s="6">
        <v>0.27</v>
      </c>
      <c r="G33" s="6">
        <f>AVERAGE(C33:F33)</f>
        <v>0.21750000000000003</v>
      </c>
      <c r="H33" s="7">
        <f t="shared" si="0"/>
        <v>7.0000000000000007E-2</v>
      </c>
    </row>
    <row r="34" spans="1:8" x14ac:dyDescent="0.45">
      <c r="B34" t="s">
        <v>1284</v>
      </c>
      <c r="C34" s="6">
        <v>0.15</v>
      </c>
      <c r="D34" s="6">
        <v>0.1</v>
      </c>
      <c r="E34" s="6">
        <v>0.15</v>
      </c>
      <c r="F34" s="6">
        <v>0.14000000000000001</v>
      </c>
      <c r="G34" s="6">
        <f>AVERAGE(C34:F34)</f>
        <v>0.13500000000000001</v>
      </c>
      <c r="H34" s="7">
        <f t="shared" si="0"/>
        <v>4.9999999999999989E-2</v>
      </c>
    </row>
    <row r="35" spans="1:8" x14ac:dyDescent="0.45">
      <c r="B35" t="s">
        <v>1285</v>
      </c>
      <c r="C35" s="6">
        <v>0.1</v>
      </c>
      <c r="D35" s="6">
        <v>0.08</v>
      </c>
      <c r="E35" s="6">
        <v>0.15</v>
      </c>
      <c r="F35" s="6">
        <v>0.12</v>
      </c>
      <c r="G35" s="6">
        <f>AVERAGE(C35:F35)</f>
        <v>0.11249999999999999</v>
      </c>
      <c r="H35" s="7">
        <f t="shared" si="0"/>
        <v>6.9999999999999993E-2</v>
      </c>
    </row>
    <row r="36" spans="1:8" x14ac:dyDescent="0.45">
      <c r="B36" t="s">
        <v>1286</v>
      </c>
      <c r="C36" s="6">
        <v>0.05</v>
      </c>
      <c r="D36" s="6">
        <v>0.14000000000000001</v>
      </c>
      <c r="E36" s="6">
        <v>0.05</v>
      </c>
      <c r="F36" s="6">
        <v>7.0000000000000007E-2</v>
      </c>
      <c r="G36" s="6">
        <f>AVERAGE(C36:F36)</f>
        <v>7.7499999999999999E-2</v>
      </c>
      <c r="H36" s="7">
        <f t="shared" si="0"/>
        <v>9.0000000000000011E-2</v>
      </c>
    </row>
    <row r="37" spans="1:8" x14ac:dyDescent="0.45">
      <c r="A37" t="s">
        <v>36</v>
      </c>
      <c r="B37" t="s">
        <v>1256</v>
      </c>
      <c r="C37" s="6"/>
      <c r="D37" s="6" t="s">
        <v>1256</v>
      </c>
      <c r="E37" s="6" t="s">
        <v>1256</v>
      </c>
      <c r="F37" s="6" t="s">
        <v>1256</v>
      </c>
      <c r="G37" s="6"/>
      <c r="H37" s="7"/>
    </row>
    <row r="38" spans="1:8" x14ac:dyDescent="0.45">
      <c r="B38" t="s">
        <v>1287</v>
      </c>
      <c r="C38" s="6">
        <v>0.5</v>
      </c>
      <c r="D38" s="6">
        <v>0.5</v>
      </c>
      <c r="E38" s="6">
        <v>0.5</v>
      </c>
      <c r="F38" s="6">
        <v>0.52</v>
      </c>
      <c r="G38" s="6">
        <f>AVERAGE(C38:F38)</f>
        <v>0.505</v>
      </c>
      <c r="H38" s="7">
        <f t="shared" si="0"/>
        <v>2.0000000000000018E-2</v>
      </c>
    </row>
    <row r="39" spans="1:8" x14ac:dyDescent="0.45">
      <c r="B39" t="s">
        <v>1288</v>
      </c>
      <c r="C39" s="6">
        <v>0.35</v>
      </c>
      <c r="D39" s="6">
        <v>0.35</v>
      </c>
      <c r="E39" s="6">
        <v>0.3</v>
      </c>
      <c r="F39" s="6">
        <v>0.31</v>
      </c>
      <c r="G39" s="6">
        <f>AVERAGE(C39:F39)</f>
        <v>0.32750000000000001</v>
      </c>
      <c r="H39" s="7">
        <f t="shared" si="0"/>
        <v>4.9999999999999989E-2</v>
      </c>
    </row>
    <row r="40" spans="1:8" x14ac:dyDescent="0.45">
      <c r="B40" t="s">
        <v>1289</v>
      </c>
      <c r="C40" s="6">
        <v>0.15</v>
      </c>
      <c r="D40" s="6">
        <v>0.15</v>
      </c>
      <c r="E40" s="6">
        <v>0.2</v>
      </c>
      <c r="F40" s="6">
        <v>0.17</v>
      </c>
      <c r="G40" s="6">
        <f>AVERAGE(C40:F40)</f>
        <v>0.16750000000000001</v>
      </c>
      <c r="H40" s="7">
        <f t="shared" si="0"/>
        <v>5.0000000000000017E-2</v>
      </c>
    </row>
    <row r="41" spans="1:8" x14ac:dyDescent="0.45">
      <c r="A41" t="s">
        <v>40</v>
      </c>
      <c r="B41" t="s">
        <v>1256</v>
      </c>
      <c r="C41" s="6"/>
      <c r="D41" s="6" t="s">
        <v>1256</v>
      </c>
      <c r="E41" s="6" t="s">
        <v>1256</v>
      </c>
      <c r="F41" s="6" t="s">
        <v>1256</v>
      </c>
      <c r="G41" s="6"/>
      <c r="H41" s="7"/>
    </row>
    <row r="42" spans="1:8" x14ac:dyDescent="0.45">
      <c r="A42" t="s">
        <v>41</v>
      </c>
      <c r="B42" t="s">
        <v>1256</v>
      </c>
      <c r="C42" s="6"/>
      <c r="D42" s="6" t="s">
        <v>1256</v>
      </c>
      <c r="E42" s="6" t="s">
        <v>1256</v>
      </c>
      <c r="F42" s="6" t="s">
        <v>1256</v>
      </c>
      <c r="G42" s="6"/>
      <c r="H42" s="7"/>
    </row>
    <row r="43" spans="1:8" x14ac:dyDescent="0.45">
      <c r="B43" t="s">
        <v>1290</v>
      </c>
      <c r="C43" s="6">
        <v>0.15</v>
      </c>
      <c r="D43" s="6">
        <v>0.15</v>
      </c>
      <c r="E43" s="6">
        <v>0.1</v>
      </c>
      <c r="F43" s="6">
        <v>0.15</v>
      </c>
      <c r="G43" s="6">
        <f>AVERAGE(C43:F43)</f>
        <v>0.13750000000000001</v>
      </c>
      <c r="H43" s="7">
        <f t="shared" si="0"/>
        <v>4.9999999999999989E-2</v>
      </c>
    </row>
    <row r="44" spans="1:8" x14ac:dyDescent="0.45">
      <c r="B44" t="s">
        <v>1291</v>
      </c>
      <c r="C44" s="6">
        <v>0.35</v>
      </c>
      <c r="D44" s="6">
        <v>0.32</v>
      </c>
      <c r="E44" s="6">
        <v>0.25</v>
      </c>
      <c r="F44" s="6">
        <v>0.33</v>
      </c>
      <c r="G44" s="6">
        <f>AVERAGE(C44:F44)</f>
        <v>0.3125</v>
      </c>
      <c r="H44" s="7">
        <f t="shared" si="0"/>
        <v>9.9999999999999978E-2</v>
      </c>
    </row>
    <row r="45" spans="1:8" x14ac:dyDescent="0.45">
      <c r="B45" t="s">
        <v>1292</v>
      </c>
      <c r="C45" s="6">
        <v>0.3</v>
      </c>
      <c r="D45" s="6">
        <v>0.3</v>
      </c>
      <c r="E45" s="6">
        <v>0.35</v>
      </c>
      <c r="F45" s="6">
        <v>0.31</v>
      </c>
      <c r="G45" s="6">
        <f>AVERAGE(C45:F45)</f>
        <v>0.315</v>
      </c>
      <c r="H45" s="7">
        <f t="shared" si="0"/>
        <v>4.9999999999999989E-2</v>
      </c>
    </row>
    <row r="46" spans="1:8" x14ac:dyDescent="0.45">
      <c r="B46" t="s">
        <v>1293</v>
      </c>
      <c r="C46" s="6">
        <v>0.12</v>
      </c>
      <c r="D46" s="6">
        <v>0.15</v>
      </c>
      <c r="E46" s="6">
        <v>0.2</v>
      </c>
      <c r="F46" s="6">
        <v>0.15</v>
      </c>
      <c r="G46" s="6">
        <f>AVERAGE(C46:F46)</f>
        <v>0.155</v>
      </c>
      <c r="H46" s="7">
        <f t="shared" si="0"/>
        <v>8.0000000000000016E-2</v>
      </c>
    </row>
    <row r="47" spans="1:8" x14ac:dyDescent="0.45">
      <c r="B47" t="s">
        <v>1294</v>
      </c>
      <c r="C47" s="6">
        <v>0.08</v>
      </c>
      <c r="D47" s="6">
        <v>0.08</v>
      </c>
      <c r="E47" s="6">
        <v>0.1</v>
      </c>
      <c r="F47" s="6">
        <v>0.06</v>
      </c>
      <c r="G47" s="6">
        <f>AVERAGE(C47:F47)</f>
        <v>0.08</v>
      </c>
      <c r="H47" s="7">
        <f t="shared" si="0"/>
        <v>4.0000000000000008E-2</v>
      </c>
    </row>
    <row r="48" spans="1:8" x14ac:dyDescent="0.45">
      <c r="A48" t="s">
        <v>47</v>
      </c>
      <c r="B48" t="s">
        <v>1256</v>
      </c>
      <c r="C48" s="6"/>
      <c r="D48" s="6" t="s">
        <v>1256</v>
      </c>
      <c r="E48" s="6" t="s">
        <v>1256</v>
      </c>
      <c r="F48" s="6" t="s">
        <v>1256</v>
      </c>
      <c r="G48" s="6"/>
      <c r="H48" s="7"/>
    </row>
    <row r="49" spans="1:8" x14ac:dyDescent="0.45">
      <c r="B49" t="s">
        <v>1290</v>
      </c>
      <c r="C49" s="6">
        <v>0.05</v>
      </c>
      <c r="D49" s="6">
        <v>0.08</v>
      </c>
      <c r="E49" s="6">
        <v>0.05</v>
      </c>
      <c r="F49" s="6">
        <v>0.1</v>
      </c>
      <c r="G49" s="6">
        <f>AVERAGE(C49:F49)</f>
        <v>7.0000000000000007E-2</v>
      </c>
      <c r="H49" s="7">
        <f t="shared" si="0"/>
        <v>0.05</v>
      </c>
    </row>
    <row r="50" spans="1:8" x14ac:dyDescent="0.45">
      <c r="B50" t="s">
        <v>1291</v>
      </c>
      <c r="C50" s="6">
        <v>0.2</v>
      </c>
      <c r="D50" s="6">
        <v>0.22</v>
      </c>
      <c r="E50" s="6">
        <v>0.2</v>
      </c>
      <c r="F50" s="6">
        <v>0.24</v>
      </c>
      <c r="G50" s="6">
        <f>AVERAGE(C50:F50)</f>
        <v>0.21500000000000002</v>
      </c>
      <c r="H50" s="7">
        <f t="shared" si="0"/>
        <v>3.999999999999998E-2</v>
      </c>
    </row>
    <row r="51" spans="1:8" x14ac:dyDescent="0.45">
      <c r="B51" t="s">
        <v>1292</v>
      </c>
      <c r="C51" s="6">
        <v>0.4</v>
      </c>
      <c r="D51" s="6">
        <v>0.33</v>
      </c>
      <c r="E51" s="6">
        <v>0.3</v>
      </c>
      <c r="F51" s="6">
        <v>0.34</v>
      </c>
      <c r="G51" s="6">
        <f>AVERAGE(C51:F51)</f>
        <v>0.34250000000000003</v>
      </c>
      <c r="H51" s="7">
        <f t="shared" si="0"/>
        <v>0.10000000000000003</v>
      </c>
    </row>
    <row r="52" spans="1:8" x14ac:dyDescent="0.45">
      <c r="B52" t="s">
        <v>1293</v>
      </c>
      <c r="C52" s="6">
        <v>0.2</v>
      </c>
      <c r="D52" s="6">
        <v>0.25</v>
      </c>
      <c r="E52" s="6">
        <v>0.3</v>
      </c>
      <c r="F52" s="6">
        <v>0.22</v>
      </c>
      <c r="G52" s="6">
        <f>AVERAGE(C52:F52)</f>
        <v>0.24249999999999999</v>
      </c>
      <c r="H52" s="7">
        <f t="shared" si="0"/>
        <v>9.9999999999999978E-2</v>
      </c>
    </row>
    <row r="53" spans="1:8" x14ac:dyDescent="0.45">
      <c r="B53" t="s">
        <v>1294</v>
      </c>
      <c r="C53" s="6">
        <v>0.15</v>
      </c>
      <c r="D53" s="6">
        <v>0.12</v>
      </c>
      <c r="E53" s="6">
        <v>0.15</v>
      </c>
      <c r="F53" s="6">
        <v>0.1</v>
      </c>
      <c r="G53" s="6">
        <f>AVERAGE(C53:F53)</f>
        <v>0.13</v>
      </c>
      <c r="H53" s="7">
        <f t="shared" si="0"/>
        <v>4.9999999999999989E-2</v>
      </c>
    </row>
    <row r="54" spans="1:8" x14ac:dyDescent="0.45">
      <c r="A54" t="s">
        <v>53</v>
      </c>
      <c r="B54" t="s">
        <v>1256</v>
      </c>
      <c r="C54" s="6"/>
      <c r="D54" s="6" t="s">
        <v>1256</v>
      </c>
      <c r="E54" s="6" t="s">
        <v>1256</v>
      </c>
      <c r="F54" s="6" t="s">
        <v>1256</v>
      </c>
      <c r="G54" s="6"/>
      <c r="H54" s="7"/>
    </row>
    <row r="55" spans="1:8" x14ac:dyDescent="0.45">
      <c r="B55" t="s">
        <v>1290</v>
      </c>
      <c r="C55" s="6">
        <v>0.25</v>
      </c>
      <c r="D55" s="6">
        <v>0.22</v>
      </c>
      <c r="E55" s="6">
        <v>0.2</v>
      </c>
      <c r="F55" s="6">
        <v>0.22</v>
      </c>
      <c r="G55" s="6">
        <f>AVERAGE(C55:F55)</f>
        <v>0.22249999999999998</v>
      </c>
      <c r="H55" s="7">
        <f t="shared" si="0"/>
        <v>4.9999999999999989E-2</v>
      </c>
    </row>
    <row r="56" spans="1:8" x14ac:dyDescent="0.45">
      <c r="B56" t="s">
        <v>1291</v>
      </c>
      <c r="C56" s="6">
        <v>0.4</v>
      </c>
      <c r="D56" s="6">
        <v>0.35</v>
      </c>
      <c r="E56" s="6">
        <v>0.3</v>
      </c>
      <c r="F56" s="6">
        <v>0.36</v>
      </c>
      <c r="G56" s="6">
        <f>AVERAGE(C56:F56)</f>
        <v>0.35250000000000004</v>
      </c>
      <c r="H56" s="7">
        <f t="shared" si="0"/>
        <v>0.10000000000000003</v>
      </c>
    </row>
    <row r="57" spans="1:8" x14ac:dyDescent="0.45">
      <c r="B57" t="s">
        <v>1292</v>
      </c>
      <c r="C57" s="6">
        <v>0.2</v>
      </c>
      <c r="D57" s="6">
        <v>0.24</v>
      </c>
      <c r="E57" s="6">
        <v>0.3</v>
      </c>
      <c r="F57" s="6">
        <v>0.25</v>
      </c>
      <c r="G57" s="6">
        <f>AVERAGE(C57:F57)</f>
        <v>0.2475</v>
      </c>
      <c r="H57" s="7">
        <f t="shared" si="0"/>
        <v>9.9999999999999978E-2</v>
      </c>
    </row>
    <row r="58" spans="1:8" x14ac:dyDescent="0.45">
      <c r="B58" t="s">
        <v>1293</v>
      </c>
      <c r="C58" s="6">
        <v>0.1</v>
      </c>
      <c r="D58" s="6">
        <v>0.13</v>
      </c>
      <c r="E58" s="6">
        <v>0.15</v>
      </c>
      <c r="F58" s="6">
        <v>0.12</v>
      </c>
      <c r="G58" s="6">
        <f>AVERAGE(C58:F58)</f>
        <v>0.125</v>
      </c>
      <c r="H58" s="7">
        <f t="shared" si="0"/>
        <v>4.9999999999999989E-2</v>
      </c>
    </row>
    <row r="59" spans="1:8" x14ac:dyDescent="0.45">
      <c r="B59" t="s">
        <v>1294</v>
      </c>
      <c r="C59" s="6">
        <v>0.05</v>
      </c>
      <c r="D59" s="6">
        <v>0.06</v>
      </c>
      <c r="E59" s="6">
        <v>0.05</v>
      </c>
      <c r="F59" s="6">
        <v>0.05</v>
      </c>
      <c r="G59" s="6">
        <f>AVERAGE(C59:F59)</f>
        <v>5.2500000000000005E-2</v>
      </c>
      <c r="H59" s="7">
        <f t="shared" si="0"/>
        <v>9.999999999999995E-3</v>
      </c>
    </row>
    <row r="60" spans="1:8" x14ac:dyDescent="0.45">
      <c r="A60" t="s">
        <v>59</v>
      </c>
      <c r="B60" t="s">
        <v>1256</v>
      </c>
      <c r="C60" s="6"/>
      <c r="D60" s="6" t="s">
        <v>1256</v>
      </c>
      <c r="E60" s="6" t="s">
        <v>1256</v>
      </c>
      <c r="F60" s="6" t="s">
        <v>1256</v>
      </c>
      <c r="G60" s="6"/>
      <c r="H60" s="7"/>
    </row>
    <row r="61" spans="1:8" x14ac:dyDescent="0.45">
      <c r="A61" t="s">
        <v>41</v>
      </c>
      <c r="B61" t="s">
        <v>1256</v>
      </c>
      <c r="C61" s="6"/>
      <c r="D61" s="6" t="s">
        <v>1256</v>
      </c>
      <c r="E61" s="6" t="s">
        <v>1256</v>
      </c>
      <c r="F61" s="6" t="s">
        <v>1256</v>
      </c>
      <c r="G61" s="6"/>
      <c r="H61" s="7"/>
    </row>
    <row r="62" spans="1:8" x14ac:dyDescent="0.45">
      <c r="B62" t="s">
        <v>1295</v>
      </c>
      <c r="C62" s="6">
        <v>0.45</v>
      </c>
      <c r="D62" s="6">
        <v>0.35</v>
      </c>
      <c r="E62" s="6">
        <v>0.4</v>
      </c>
      <c r="F62" s="6">
        <v>0.34</v>
      </c>
      <c r="G62" s="6">
        <f>AVERAGE(C62:F62)</f>
        <v>0.38500000000000006</v>
      </c>
      <c r="H62" s="7">
        <f t="shared" si="0"/>
        <v>0.10999999999999999</v>
      </c>
    </row>
    <row r="63" spans="1:8" x14ac:dyDescent="0.45">
      <c r="B63" t="s">
        <v>1296</v>
      </c>
      <c r="C63" s="6">
        <v>0.65</v>
      </c>
      <c r="D63" s="6">
        <v>0.55000000000000004</v>
      </c>
      <c r="E63" s="6">
        <v>0.5</v>
      </c>
      <c r="F63" s="6">
        <v>0.56000000000000005</v>
      </c>
      <c r="G63" s="6">
        <f>AVERAGE(C63:F63)</f>
        <v>0.56500000000000006</v>
      </c>
      <c r="H63" s="7">
        <f t="shared" si="0"/>
        <v>0.15000000000000002</v>
      </c>
    </row>
    <row r="64" spans="1:8" x14ac:dyDescent="0.45">
      <c r="B64" t="s">
        <v>1297</v>
      </c>
      <c r="C64" s="6">
        <v>0.3</v>
      </c>
      <c r="D64" s="6">
        <v>0.4</v>
      </c>
      <c r="E64" s="6">
        <v>0.3</v>
      </c>
      <c r="F64" s="6">
        <v>0.41</v>
      </c>
      <c r="G64" s="6">
        <f>AVERAGE(C64:F64)</f>
        <v>0.35249999999999998</v>
      </c>
      <c r="H64" s="7">
        <f t="shared" si="0"/>
        <v>0.10999999999999999</v>
      </c>
    </row>
    <row r="65" spans="1:8" x14ac:dyDescent="0.45">
      <c r="B65" t="s">
        <v>1298</v>
      </c>
      <c r="C65" s="6">
        <v>0.1</v>
      </c>
      <c r="D65" s="6">
        <v>0.1</v>
      </c>
      <c r="E65" s="6">
        <v>0.1</v>
      </c>
      <c r="F65" s="6">
        <v>0.06</v>
      </c>
      <c r="G65" s="6">
        <f>AVERAGE(C65:F65)</f>
        <v>9.0000000000000011E-2</v>
      </c>
      <c r="H65" s="7">
        <f t="shared" si="0"/>
        <v>4.0000000000000008E-2</v>
      </c>
    </row>
    <row r="66" spans="1:8" x14ac:dyDescent="0.45">
      <c r="B66" t="s">
        <v>1299</v>
      </c>
      <c r="C66" s="6">
        <v>0.25</v>
      </c>
      <c r="D66" s="6">
        <v>0.3</v>
      </c>
      <c r="E66" s="6">
        <v>0.25</v>
      </c>
      <c r="F66" s="6">
        <v>0.28999999999999998</v>
      </c>
      <c r="G66" s="6">
        <f>AVERAGE(C66:F66)</f>
        <v>0.27250000000000002</v>
      </c>
      <c r="H66" s="7">
        <f t="shared" si="0"/>
        <v>4.9999999999999989E-2</v>
      </c>
    </row>
    <row r="67" spans="1:8" x14ac:dyDescent="0.45">
      <c r="B67" t="s">
        <v>1289</v>
      </c>
      <c r="C67" s="6">
        <v>0.02</v>
      </c>
      <c r="D67" s="6">
        <v>0.08</v>
      </c>
      <c r="E67" s="6">
        <v>0.05</v>
      </c>
      <c r="F67" s="6">
        <v>0.05</v>
      </c>
      <c r="G67" s="6">
        <f>AVERAGE(C67:F67)</f>
        <v>0.05</v>
      </c>
      <c r="H67" s="7">
        <f t="shared" si="0"/>
        <v>0.06</v>
      </c>
    </row>
    <row r="68" spans="1:8" x14ac:dyDescent="0.45">
      <c r="A68" t="s">
        <v>47</v>
      </c>
      <c r="B68" t="s">
        <v>1256</v>
      </c>
      <c r="C68" s="6"/>
      <c r="D68" s="6" t="s">
        <v>1256</v>
      </c>
      <c r="E68" s="6" t="s">
        <v>1256</v>
      </c>
      <c r="F68" s="6" t="s">
        <v>1256</v>
      </c>
      <c r="G68" s="6"/>
      <c r="H68" s="7"/>
    </row>
    <row r="69" spans="1:8" x14ac:dyDescent="0.45">
      <c r="B69" t="s">
        <v>1295</v>
      </c>
      <c r="C69" s="6">
        <v>0.35</v>
      </c>
      <c r="D69" s="6">
        <v>0.3</v>
      </c>
      <c r="E69" s="6">
        <v>0.35</v>
      </c>
      <c r="F69" s="6">
        <v>0.42</v>
      </c>
      <c r="G69" s="6">
        <f>AVERAGE(C69:F69)</f>
        <v>0.35499999999999998</v>
      </c>
      <c r="H69" s="7">
        <f t="shared" ref="H69:H132" si="1">MAX(C69:F69)-MIN(C69:F69)</f>
        <v>0.12</v>
      </c>
    </row>
    <row r="70" spans="1:8" x14ac:dyDescent="0.45">
      <c r="B70" t="s">
        <v>1296</v>
      </c>
      <c r="C70" s="6">
        <v>0.8</v>
      </c>
      <c r="D70" s="6">
        <v>0.6</v>
      </c>
      <c r="E70" s="6">
        <v>0.55000000000000004</v>
      </c>
      <c r="F70" s="6">
        <v>0.61</v>
      </c>
      <c r="G70" s="6">
        <f>AVERAGE(C70:F70)</f>
        <v>0.64</v>
      </c>
      <c r="H70" s="7">
        <f t="shared" si="1"/>
        <v>0.25</v>
      </c>
    </row>
    <row r="71" spans="1:8" x14ac:dyDescent="0.45">
      <c r="B71" t="s">
        <v>1297</v>
      </c>
      <c r="C71" s="6">
        <v>0.2</v>
      </c>
      <c r="D71" s="6">
        <v>0.35</v>
      </c>
      <c r="E71" s="6">
        <v>0.35</v>
      </c>
      <c r="F71" s="6">
        <v>0.38</v>
      </c>
      <c r="G71" s="6">
        <f>AVERAGE(C71:F71)</f>
        <v>0.32</v>
      </c>
      <c r="H71" s="7">
        <f t="shared" si="1"/>
        <v>0.18</v>
      </c>
    </row>
    <row r="72" spans="1:8" x14ac:dyDescent="0.45">
      <c r="B72" t="s">
        <v>1298</v>
      </c>
      <c r="C72" s="6">
        <v>0.05</v>
      </c>
      <c r="D72" s="6">
        <v>0.08</v>
      </c>
      <c r="E72" s="6">
        <v>0.15</v>
      </c>
      <c r="F72" s="6">
        <v>0.05</v>
      </c>
      <c r="G72" s="6">
        <f>AVERAGE(C72:F72)</f>
        <v>8.2500000000000004E-2</v>
      </c>
      <c r="H72" s="7">
        <f t="shared" si="1"/>
        <v>9.9999999999999992E-2</v>
      </c>
    </row>
    <row r="73" spans="1:8" x14ac:dyDescent="0.45">
      <c r="B73" t="s">
        <v>1299</v>
      </c>
      <c r="C73" s="6">
        <v>0.2</v>
      </c>
      <c r="D73" s="6">
        <v>0.28000000000000003</v>
      </c>
      <c r="E73" s="6">
        <v>0.3</v>
      </c>
      <c r="F73" s="6">
        <v>0.24</v>
      </c>
      <c r="G73" s="6">
        <f>AVERAGE(C73:F73)</f>
        <v>0.255</v>
      </c>
      <c r="H73" s="7">
        <f t="shared" si="1"/>
        <v>9.9999999999999978E-2</v>
      </c>
    </row>
    <row r="74" spans="1:8" x14ac:dyDescent="0.45">
      <c r="B74" t="s">
        <v>1289</v>
      </c>
      <c r="C74" s="6">
        <v>0.02</v>
      </c>
      <c r="D74" s="6">
        <v>7.0000000000000007E-2</v>
      </c>
      <c r="E74" s="6">
        <v>0.05</v>
      </c>
      <c r="F74" s="6">
        <v>0.04</v>
      </c>
      <c r="G74" s="6">
        <f>AVERAGE(C74:F74)</f>
        <v>4.5000000000000005E-2</v>
      </c>
      <c r="H74" s="7">
        <f t="shared" si="1"/>
        <v>0.05</v>
      </c>
    </row>
    <row r="75" spans="1:8" x14ac:dyDescent="0.45">
      <c r="A75" t="s">
        <v>53</v>
      </c>
      <c r="B75" t="s">
        <v>1256</v>
      </c>
      <c r="C75" s="6"/>
      <c r="D75" s="6" t="s">
        <v>1256</v>
      </c>
      <c r="E75" s="6" t="s">
        <v>1256</v>
      </c>
      <c r="F75" s="6" t="s">
        <v>1256</v>
      </c>
      <c r="G75" s="6"/>
      <c r="H75" s="7"/>
    </row>
    <row r="76" spans="1:8" x14ac:dyDescent="0.45">
      <c r="B76" t="s">
        <v>1295</v>
      </c>
      <c r="C76" s="6">
        <v>0.4</v>
      </c>
      <c r="D76" s="6">
        <v>0.25</v>
      </c>
      <c r="E76" s="6">
        <v>0.45</v>
      </c>
      <c r="F76" s="6">
        <v>0.26</v>
      </c>
      <c r="G76" s="6">
        <f>AVERAGE(C76:F76)</f>
        <v>0.34</v>
      </c>
      <c r="H76" s="7">
        <f t="shared" si="1"/>
        <v>0.2</v>
      </c>
    </row>
    <row r="77" spans="1:8" x14ac:dyDescent="0.45">
      <c r="B77" t="s">
        <v>1296</v>
      </c>
      <c r="C77" s="6">
        <v>0.5</v>
      </c>
      <c r="D77" s="6">
        <v>0.4</v>
      </c>
      <c r="E77" s="6">
        <v>0.4</v>
      </c>
      <c r="F77" s="6">
        <v>0.39</v>
      </c>
      <c r="G77" s="6">
        <f>AVERAGE(C77:F77)</f>
        <v>0.42249999999999999</v>
      </c>
      <c r="H77" s="7">
        <f t="shared" si="1"/>
        <v>0.10999999999999999</v>
      </c>
    </row>
    <row r="78" spans="1:8" x14ac:dyDescent="0.45">
      <c r="B78" t="s">
        <v>1297</v>
      </c>
      <c r="C78" s="6">
        <v>0.4</v>
      </c>
      <c r="D78" s="6">
        <v>0.45</v>
      </c>
      <c r="E78" s="6">
        <v>0.4</v>
      </c>
      <c r="F78" s="6">
        <v>0.37</v>
      </c>
      <c r="G78" s="6">
        <f>AVERAGE(C78:F78)</f>
        <v>0.40500000000000003</v>
      </c>
      <c r="H78" s="7">
        <f t="shared" si="1"/>
        <v>8.0000000000000016E-2</v>
      </c>
    </row>
    <row r="79" spans="1:8" x14ac:dyDescent="0.45">
      <c r="B79" t="s">
        <v>1298</v>
      </c>
      <c r="C79" s="6">
        <v>0.15</v>
      </c>
      <c r="D79" s="6">
        <v>0.12</v>
      </c>
      <c r="E79" s="6">
        <v>0.2</v>
      </c>
      <c r="F79" s="6">
        <v>0.08</v>
      </c>
      <c r="G79" s="6">
        <f>AVERAGE(C79:F79)</f>
        <v>0.13750000000000001</v>
      </c>
      <c r="H79" s="7">
        <f t="shared" si="1"/>
        <v>0.12000000000000001</v>
      </c>
    </row>
    <row r="80" spans="1:8" x14ac:dyDescent="0.45">
      <c r="B80" t="s">
        <v>1299</v>
      </c>
      <c r="C80" s="6">
        <v>0.3</v>
      </c>
      <c r="D80" s="6">
        <v>0.35</v>
      </c>
      <c r="E80" s="6">
        <v>0.35</v>
      </c>
      <c r="F80" s="6">
        <v>0.27</v>
      </c>
      <c r="G80" s="6">
        <f>AVERAGE(C80:F80)</f>
        <v>0.3175</v>
      </c>
      <c r="H80" s="7">
        <f t="shared" si="1"/>
        <v>7.999999999999996E-2</v>
      </c>
    </row>
    <row r="81" spans="1:8" x14ac:dyDescent="0.45">
      <c r="B81" t="s">
        <v>1289</v>
      </c>
      <c r="C81" s="6">
        <v>0.05</v>
      </c>
      <c r="D81" s="6">
        <v>0.12</v>
      </c>
      <c r="E81" s="6">
        <v>0.1</v>
      </c>
      <c r="F81" s="6">
        <v>7.0000000000000007E-2</v>
      </c>
      <c r="G81" s="6">
        <f>AVERAGE(C81:F81)</f>
        <v>8.5000000000000006E-2</v>
      </c>
      <c r="H81" s="7">
        <f t="shared" si="1"/>
        <v>6.9999999999999993E-2</v>
      </c>
    </row>
    <row r="82" spans="1:8" x14ac:dyDescent="0.45">
      <c r="A82" t="s">
        <v>77</v>
      </c>
      <c r="B82" t="s">
        <v>1256</v>
      </c>
      <c r="C82" s="6"/>
      <c r="D82" s="6" t="s">
        <v>1256</v>
      </c>
      <c r="E82" s="6" t="s">
        <v>1256</v>
      </c>
      <c r="F82" s="6" t="s">
        <v>1256</v>
      </c>
      <c r="G82" s="6"/>
      <c r="H82" s="7"/>
    </row>
    <row r="83" spans="1:8" x14ac:dyDescent="0.45">
      <c r="A83" t="s">
        <v>41</v>
      </c>
      <c r="B83" t="s">
        <v>1256</v>
      </c>
      <c r="C83" s="6"/>
      <c r="D83" s="6" t="s">
        <v>1256</v>
      </c>
      <c r="E83" s="6" t="s">
        <v>1256</v>
      </c>
      <c r="F83" s="6" t="s">
        <v>1256</v>
      </c>
      <c r="G83" s="6"/>
      <c r="H83" s="7"/>
    </row>
    <row r="84" spans="1:8" x14ac:dyDescent="0.45">
      <c r="B84" t="s">
        <v>1300</v>
      </c>
      <c r="C84" s="6">
        <v>0.9</v>
      </c>
      <c r="D84" s="6">
        <v>0.75</v>
      </c>
      <c r="E84" s="6">
        <v>0.7</v>
      </c>
      <c r="F84" s="6">
        <v>0.68</v>
      </c>
      <c r="G84" s="6">
        <f>AVERAGE(C84:F84)</f>
        <v>0.75749999999999995</v>
      </c>
      <c r="H84" s="7">
        <f t="shared" si="1"/>
        <v>0.21999999999999997</v>
      </c>
    </row>
    <row r="85" spans="1:8" x14ac:dyDescent="0.45">
      <c r="B85" t="s">
        <v>1301</v>
      </c>
      <c r="C85" s="6">
        <v>0.4</v>
      </c>
      <c r="D85" s="6">
        <v>0.3</v>
      </c>
      <c r="E85" s="6">
        <v>0.2</v>
      </c>
      <c r="F85" s="6">
        <v>0.28999999999999998</v>
      </c>
      <c r="G85" s="6">
        <f>AVERAGE(C85:F85)</f>
        <v>0.29749999999999999</v>
      </c>
      <c r="H85" s="7">
        <f t="shared" si="1"/>
        <v>0.2</v>
      </c>
    </row>
    <row r="86" spans="1:8" x14ac:dyDescent="0.45">
      <c r="B86" t="s">
        <v>1302</v>
      </c>
      <c r="C86" s="6">
        <v>0.6</v>
      </c>
      <c r="D86" s="6">
        <v>0.55000000000000004</v>
      </c>
      <c r="E86" s="6">
        <v>0.5</v>
      </c>
      <c r="F86" s="6">
        <v>0.52</v>
      </c>
      <c r="G86" s="6">
        <f>AVERAGE(C86:F86)</f>
        <v>0.54249999999999998</v>
      </c>
      <c r="H86" s="7">
        <f t="shared" si="1"/>
        <v>9.9999999999999978E-2</v>
      </c>
    </row>
    <row r="87" spans="1:8" x14ac:dyDescent="0.45">
      <c r="B87" t="s">
        <v>1303</v>
      </c>
      <c r="C87" s="6">
        <v>0.35</v>
      </c>
      <c r="D87" s="6">
        <v>0.25</v>
      </c>
      <c r="E87" s="6">
        <v>0.4</v>
      </c>
      <c r="F87" s="6">
        <v>0.31</v>
      </c>
      <c r="G87" s="6">
        <f>AVERAGE(C87:F87)</f>
        <v>0.32750000000000001</v>
      </c>
      <c r="H87" s="7">
        <f t="shared" si="1"/>
        <v>0.15000000000000002</v>
      </c>
    </row>
    <row r="88" spans="1:8" x14ac:dyDescent="0.45">
      <c r="B88" t="s">
        <v>1304</v>
      </c>
      <c r="C88" s="6">
        <v>0.3</v>
      </c>
      <c r="D88" s="6">
        <v>0.2</v>
      </c>
      <c r="E88" s="6">
        <v>0.35</v>
      </c>
      <c r="F88" s="6">
        <v>0.27</v>
      </c>
      <c r="G88" s="6">
        <f>AVERAGE(C88:F88)</f>
        <v>0.28000000000000003</v>
      </c>
      <c r="H88" s="7">
        <f t="shared" si="1"/>
        <v>0.14999999999999997</v>
      </c>
    </row>
    <row r="89" spans="1:8" x14ac:dyDescent="0.45">
      <c r="B89" t="s">
        <v>1305</v>
      </c>
      <c r="C89" s="6">
        <v>0.25</v>
      </c>
      <c r="D89" s="6">
        <v>0.18</v>
      </c>
      <c r="E89" s="6">
        <v>0.25</v>
      </c>
      <c r="F89" s="6">
        <v>0.23</v>
      </c>
      <c r="G89" s="6">
        <f>AVERAGE(C89:F89)</f>
        <v>0.22749999999999998</v>
      </c>
      <c r="H89" s="7">
        <f t="shared" si="1"/>
        <v>7.0000000000000007E-2</v>
      </c>
    </row>
    <row r="90" spans="1:8" x14ac:dyDescent="0.45">
      <c r="B90" t="s">
        <v>1289</v>
      </c>
      <c r="C90" s="6">
        <v>0.02</v>
      </c>
      <c r="D90" s="6">
        <v>0.08</v>
      </c>
      <c r="E90" s="6">
        <v>0.1</v>
      </c>
      <c r="F90" s="6">
        <v>0.06</v>
      </c>
      <c r="G90" s="6">
        <f>AVERAGE(C90:F90)</f>
        <v>6.5000000000000002E-2</v>
      </c>
      <c r="H90" s="7">
        <f t="shared" si="1"/>
        <v>0.08</v>
      </c>
    </row>
    <row r="91" spans="1:8" x14ac:dyDescent="0.45">
      <c r="A91" t="s">
        <v>47</v>
      </c>
      <c r="B91" t="s">
        <v>1256</v>
      </c>
      <c r="C91" s="6"/>
      <c r="D91" s="6" t="s">
        <v>1256</v>
      </c>
      <c r="E91" s="6" t="s">
        <v>1256</v>
      </c>
      <c r="F91" s="6" t="s">
        <v>1256</v>
      </c>
      <c r="G91" s="6"/>
      <c r="H91" s="7"/>
    </row>
    <row r="92" spans="1:8" x14ac:dyDescent="0.45">
      <c r="B92" t="s">
        <v>1300</v>
      </c>
      <c r="C92" s="6">
        <v>0.2</v>
      </c>
      <c r="D92" s="6">
        <v>0.2</v>
      </c>
      <c r="E92" s="6">
        <v>0.15</v>
      </c>
      <c r="F92" s="6">
        <v>0.24</v>
      </c>
      <c r="G92" s="6">
        <f>AVERAGE(C92:F92)</f>
        <v>0.19750000000000001</v>
      </c>
      <c r="H92" s="7">
        <f t="shared" si="1"/>
        <v>0.09</v>
      </c>
    </row>
    <row r="93" spans="1:8" x14ac:dyDescent="0.45">
      <c r="B93" t="s">
        <v>1301</v>
      </c>
      <c r="C93" s="6">
        <v>0.95</v>
      </c>
      <c r="D93" s="6">
        <v>0.88</v>
      </c>
      <c r="E93" s="6">
        <v>0.8</v>
      </c>
      <c r="F93" s="6">
        <v>0.79</v>
      </c>
      <c r="G93" s="6">
        <f>AVERAGE(C93:F93)</f>
        <v>0.85499999999999998</v>
      </c>
      <c r="H93" s="7">
        <f t="shared" si="1"/>
        <v>0.15999999999999992</v>
      </c>
    </row>
    <row r="94" spans="1:8" x14ac:dyDescent="0.45">
      <c r="B94" t="s">
        <v>1302</v>
      </c>
      <c r="C94" s="6">
        <v>0.3</v>
      </c>
      <c r="D94" s="6">
        <v>0.25</v>
      </c>
      <c r="E94" s="6">
        <v>0.4</v>
      </c>
      <c r="F94" s="6">
        <v>0.28000000000000003</v>
      </c>
      <c r="G94" s="6">
        <f>AVERAGE(C94:F94)</f>
        <v>0.3075</v>
      </c>
      <c r="H94" s="7">
        <f t="shared" si="1"/>
        <v>0.15000000000000002</v>
      </c>
    </row>
    <row r="95" spans="1:8" x14ac:dyDescent="0.45">
      <c r="B95" t="s">
        <v>1303</v>
      </c>
      <c r="C95" s="6">
        <v>0.45</v>
      </c>
      <c r="D95" s="6">
        <v>0.22</v>
      </c>
      <c r="E95" s="6">
        <v>0.3</v>
      </c>
      <c r="F95" s="6">
        <v>0.21</v>
      </c>
      <c r="G95" s="6">
        <f>AVERAGE(C95:F95)</f>
        <v>0.29499999999999998</v>
      </c>
      <c r="H95" s="7">
        <f t="shared" si="1"/>
        <v>0.24000000000000002</v>
      </c>
    </row>
    <row r="96" spans="1:8" x14ac:dyDescent="0.45">
      <c r="B96" t="s">
        <v>1304</v>
      </c>
      <c r="C96" s="6">
        <v>0.4</v>
      </c>
      <c r="D96" s="6">
        <v>0.3</v>
      </c>
      <c r="E96" s="6">
        <v>0.25</v>
      </c>
      <c r="F96" s="6">
        <v>0.33</v>
      </c>
      <c r="G96" s="6">
        <f>AVERAGE(C96:F96)</f>
        <v>0.32</v>
      </c>
      <c r="H96" s="7">
        <f t="shared" si="1"/>
        <v>0.15000000000000002</v>
      </c>
    </row>
    <row r="97" spans="1:8" x14ac:dyDescent="0.45">
      <c r="B97" t="s">
        <v>1305</v>
      </c>
      <c r="C97" s="6">
        <v>0.15</v>
      </c>
      <c r="D97" s="6">
        <v>0.15</v>
      </c>
      <c r="E97" s="6">
        <v>0.2</v>
      </c>
      <c r="F97" s="6">
        <v>0.19</v>
      </c>
      <c r="G97" s="6">
        <f>AVERAGE(C97:F97)</f>
        <v>0.17249999999999999</v>
      </c>
      <c r="H97" s="7">
        <f t="shared" si="1"/>
        <v>5.0000000000000017E-2</v>
      </c>
    </row>
    <row r="98" spans="1:8" x14ac:dyDescent="0.45">
      <c r="B98" t="s">
        <v>1289</v>
      </c>
      <c r="C98" s="6">
        <v>0.02</v>
      </c>
      <c r="D98" s="6">
        <v>7.0000000000000007E-2</v>
      </c>
      <c r="E98" s="6">
        <v>0.05</v>
      </c>
      <c r="F98" s="6">
        <v>0.05</v>
      </c>
      <c r="G98" s="6">
        <f>AVERAGE(C98:F98)</f>
        <v>4.7500000000000001E-2</v>
      </c>
      <c r="H98" s="7">
        <f t="shared" si="1"/>
        <v>0.05</v>
      </c>
    </row>
    <row r="99" spans="1:8" x14ac:dyDescent="0.45">
      <c r="A99" t="s">
        <v>53</v>
      </c>
      <c r="B99" t="s">
        <v>1256</v>
      </c>
      <c r="C99" s="6"/>
      <c r="D99" s="6" t="s">
        <v>1256</v>
      </c>
      <c r="E99" s="6" t="s">
        <v>1256</v>
      </c>
      <c r="F99" s="6" t="s">
        <v>1256</v>
      </c>
      <c r="G99" s="6"/>
      <c r="H99" s="7"/>
    </row>
    <row r="100" spans="1:8" x14ac:dyDescent="0.45">
      <c r="B100" t="s">
        <v>1300</v>
      </c>
      <c r="C100" s="6">
        <v>0.4</v>
      </c>
      <c r="D100" s="6">
        <v>0.35</v>
      </c>
      <c r="E100" s="6">
        <v>0.3</v>
      </c>
      <c r="F100" s="6">
        <v>0.27</v>
      </c>
      <c r="G100" s="6">
        <f>AVERAGE(C100:F100)</f>
        <v>0.33</v>
      </c>
      <c r="H100" s="7">
        <f t="shared" si="1"/>
        <v>0.13</v>
      </c>
    </row>
    <row r="101" spans="1:8" x14ac:dyDescent="0.45">
      <c r="B101" t="s">
        <v>1301</v>
      </c>
      <c r="C101" s="6">
        <v>0.3</v>
      </c>
      <c r="D101" s="6">
        <v>0.4</v>
      </c>
      <c r="E101" s="6">
        <v>0.25</v>
      </c>
      <c r="F101" s="6">
        <v>0.22</v>
      </c>
      <c r="G101" s="6">
        <f>AVERAGE(C101:F101)</f>
        <v>0.29249999999999998</v>
      </c>
      <c r="H101" s="7">
        <f t="shared" si="1"/>
        <v>0.18000000000000002</v>
      </c>
    </row>
    <row r="102" spans="1:8" x14ac:dyDescent="0.45">
      <c r="B102" t="s">
        <v>1302</v>
      </c>
      <c r="C102" s="6">
        <v>0.7</v>
      </c>
      <c r="D102" s="6">
        <v>0.45</v>
      </c>
      <c r="E102" s="6">
        <v>0.45</v>
      </c>
      <c r="F102" s="6">
        <v>0.46</v>
      </c>
      <c r="G102" s="6">
        <f>AVERAGE(C102:F102)</f>
        <v>0.51500000000000001</v>
      </c>
      <c r="H102" s="7">
        <f t="shared" si="1"/>
        <v>0.24999999999999994</v>
      </c>
    </row>
    <row r="103" spans="1:8" x14ac:dyDescent="0.45">
      <c r="B103" t="s">
        <v>1303</v>
      </c>
      <c r="C103" s="6">
        <v>0.2</v>
      </c>
      <c r="D103" s="6">
        <v>0.2</v>
      </c>
      <c r="E103" s="6">
        <v>0.35</v>
      </c>
      <c r="F103" s="6">
        <v>0.18</v>
      </c>
      <c r="G103" s="6">
        <f>AVERAGE(C103:F103)</f>
        <v>0.23249999999999998</v>
      </c>
      <c r="H103" s="7">
        <f t="shared" si="1"/>
        <v>0.16999999999999998</v>
      </c>
    </row>
    <row r="104" spans="1:8" x14ac:dyDescent="0.45">
      <c r="B104" t="s">
        <v>1304</v>
      </c>
      <c r="C104" s="6">
        <v>0.15</v>
      </c>
      <c r="D104" s="6">
        <v>0.15</v>
      </c>
      <c r="E104" s="6">
        <v>0.3</v>
      </c>
      <c r="F104" s="6">
        <v>0.2</v>
      </c>
      <c r="G104" s="6">
        <f>AVERAGE(C104:F104)</f>
        <v>0.2</v>
      </c>
      <c r="H104" s="7">
        <f t="shared" si="1"/>
        <v>0.15</v>
      </c>
    </row>
    <row r="105" spans="1:8" x14ac:dyDescent="0.45">
      <c r="B105" t="s">
        <v>1305</v>
      </c>
      <c r="C105" s="6">
        <v>0.5</v>
      </c>
      <c r="D105" s="6">
        <v>0.25</v>
      </c>
      <c r="E105" s="6">
        <v>0.4</v>
      </c>
      <c r="F105" s="6">
        <v>0.31</v>
      </c>
      <c r="G105" s="6">
        <f>AVERAGE(C105:F105)</f>
        <v>0.36499999999999999</v>
      </c>
      <c r="H105" s="7">
        <f t="shared" si="1"/>
        <v>0.25</v>
      </c>
    </row>
    <row r="106" spans="1:8" x14ac:dyDescent="0.45">
      <c r="B106" t="s">
        <v>1289</v>
      </c>
      <c r="C106" s="6">
        <v>0.1</v>
      </c>
      <c r="D106" s="6">
        <v>0.15</v>
      </c>
      <c r="E106" s="6">
        <v>0.15</v>
      </c>
      <c r="F106" s="6">
        <v>0.11</v>
      </c>
      <c r="G106" s="6">
        <f>AVERAGE(C106:F106)</f>
        <v>0.1275</v>
      </c>
      <c r="H106" s="7">
        <f t="shared" si="1"/>
        <v>4.9999999999999989E-2</v>
      </c>
    </row>
    <row r="107" spans="1:8" x14ac:dyDescent="0.45">
      <c r="A107" t="s">
        <v>97</v>
      </c>
      <c r="B107" t="s">
        <v>1256</v>
      </c>
      <c r="C107" s="6"/>
      <c r="D107" s="6" t="s">
        <v>1256</v>
      </c>
      <c r="E107" s="6" t="s">
        <v>1256</v>
      </c>
      <c r="F107" s="6" t="s">
        <v>1256</v>
      </c>
      <c r="G107" s="6"/>
      <c r="H107" s="7"/>
    </row>
    <row r="108" spans="1:8" x14ac:dyDescent="0.45">
      <c r="A108" t="s">
        <v>41</v>
      </c>
      <c r="B108" t="s">
        <v>1256</v>
      </c>
      <c r="C108" s="6"/>
      <c r="D108" s="6" t="s">
        <v>1256</v>
      </c>
      <c r="E108" s="6" t="s">
        <v>1256</v>
      </c>
      <c r="F108" s="6" t="s">
        <v>1256</v>
      </c>
      <c r="G108" s="6"/>
      <c r="H108" s="7"/>
    </row>
    <row r="109" spans="1:8" x14ac:dyDescent="0.45">
      <c r="B109" t="s">
        <v>1306</v>
      </c>
      <c r="C109" s="6">
        <v>0.25</v>
      </c>
      <c r="D109" s="6">
        <v>0.18</v>
      </c>
      <c r="E109" s="6">
        <v>0.3</v>
      </c>
      <c r="F109" s="6">
        <v>0.18</v>
      </c>
      <c r="G109" s="6">
        <f>AVERAGE(C109:F109)</f>
        <v>0.22749999999999998</v>
      </c>
      <c r="H109" s="7">
        <f t="shared" si="1"/>
        <v>0.12</v>
      </c>
    </row>
    <row r="110" spans="1:8" x14ac:dyDescent="0.45">
      <c r="B110" t="s">
        <v>1307</v>
      </c>
      <c r="C110" s="6">
        <v>0.2</v>
      </c>
      <c r="D110" s="6">
        <v>0.12</v>
      </c>
      <c r="E110" s="6">
        <v>0.25</v>
      </c>
      <c r="F110" s="6">
        <v>0.21</v>
      </c>
      <c r="G110" s="6">
        <f>AVERAGE(C110:F110)</f>
        <v>0.19500000000000001</v>
      </c>
      <c r="H110" s="7">
        <f t="shared" si="1"/>
        <v>0.13</v>
      </c>
    </row>
    <row r="111" spans="1:8" x14ac:dyDescent="0.45">
      <c r="B111" t="s">
        <v>1308</v>
      </c>
      <c r="C111" s="6">
        <v>0.65</v>
      </c>
      <c r="D111" s="6">
        <v>0.4</v>
      </c>
      <c r="E111" s="6">
        <v>0.5</v>
      </c>
      <c r="F111" s="6">
        <v>0.39</v>
      </c>
      <c r="G111" s="6">
        <f>AVERAGE(C111:F111)</f>
        <v>0.48499999999999999</v>
      </c>
      <c r="H111" s="7">
        <f t="shared" si="1"/>
        <v>0.26</v>
      </c>
    </row>
    <row r="112" spans="1:8" x14ac:dyDescent="0.45">
      <c r="B112" t="s">
        <v>1309</v>
      </c>
      <c r="C112" s="6">
        <v>0.55000000000000004</v>
      </c>
      <c r="D112" s="6">
        <v>0.3</v>
      </c>
      <c r="E112" s="6">
        <v>0.4</v>
      </c>
      <c r="F112" s="6">
        <v>0.24</v>
      </c>
      <c r="G112" s="6">
        <f>AVERAGE(C112:F112)</f>
        <v>0.3725</v>
      </c>
      <c r="H112" s="7">
        <f t="shared" si="1"/>
        <v>0.31000000000000005</v>
      </c>
    </row>
    <row r="113" spans="1:8" x14ac:dyDescent="0.45">
      <c r="B113" t="s">
        <v>1310</v>
      </c>
      <c r="C113" s="6">
        <v>0.15</v>
      </c>
      <c r="D113" s="6">
        <v>0.35</v>
      </c>
      <c r="E113" s="6">
        <v>0.15</v>
      </c>
      <c r="F113" s="6">
        <v>0.34</v>
      </c>
      <c r="G113" s="6">
        <f>AVERAGE(C113:F113)</f>
        <v>0.2475</v>
      </c>
      <c r="H113" s="7">
        <f t="shared" si="1"/>
        <v>0.19999999999999998</v>
      </c>
    </row>
    <row r="114" spans="1:8" x14ac:dyDescent="0.45">
      <c r="B114" t="s">
        <v>1289</v>
      </c>
      <c r="C114" s="6">
        <v>0.02</v>
      </c>
      <c r="D114" s="6">
        <v>0.05</v>
      </c>
      <c r="E114" s="6">
        <v>0.05</v>
      </c>
      <c r="F114" s="6">
        <v>0.04</v>
      </c>
      <c r="G114" s="6">
        <f>AVERAGE(C114:F114)</f>
        <v>0.04</v>
      </c>
      <c r="H114" s="7">
        <f t="shared" si="1"/>
        <v>3.0000000000000002E-2</v>
      </c>
    </row>
    <row r="115" spans="1:8" x14ac:dyDescent="0.45">
      <c r="A115" t="s">
        <v>47</v>
      </c>
      <c r="B115" t="s">
        <v>1256</v>
      </c>
      <c r="C115" s="6"/>
      <c r="D115" s="6" t="s">
        <v>1256</v>
      </c>
      <c r="E115" s="6" t="s">
        <v>1256</v>
      </c>
      <c r="F115" s="6" t="s">
        <v>1256</v>
      </c>
      <c r="G115" s="6"/>
      <c r="H115" s="7">
        <f t="shared" si="1"/>
        <v>0</v>
      </c>
    </row>
    <row r="116" spans="1:8" x14ac:dyDescent="0.45">
      <c r="B116" t="s">
        <v>1306</v>
      </c>
      <c r="C116" s="6">
        <v>0.85</v>
      </c>
      <c r="D116" s="6">
        <v>0.55000000000000004</v>
      </c>
      <c r="E116" s="6">
        <v>0.6</v>
      </c>
      <c r="F116" s="6">
        <v>0.46</v>
      </c>
      <c r="G116" s="6">
        <f>AVERAGE(C116:F116)</f>
        <v>0.61499999999999999</v>
      </c>
      <c r="H116" s="7">
        <f t="shared" si="1"/>
        <v>0.38999999999999996</v>
      </c>
    </row>
    <row r="117" spans="1:8" x14ac:dyDescent="0.45">
      <c r="B117" t="s">
        <v>1307</v>
      </c>
      <c r="C117" s="6">
        <v>0.75</v>
      </c>
      <c r="D117" s="6">
        <v>0.4</v>
      </c>
      <c r="E117" s="6">
        <v>0.5</v>
      </c>
      <c r="F117" s="6">
        <v>0.41</v>
      </c>
      <c r="G117" s="6">
        <f>AVERAGE(C117:F117)</f>
        <v>0.51500000000000001</v>
      </c>
      <c r="H117" s="7">
        <f t="shared" si="1"/>
        <v>0.35</v>
      </c>
    </row>
    <row r="118" spans="1:8" x14ac:dyDescent="0.45">
      <c r="B118" t="s">
        <v>1308</v>
      </c>
      <c r="C118" s="6">
        <v>0.6</v>
      </c>
      <c r="D118" s="6">
        <v>0.35</v>
      </c>
      <c r="E118" s="6">
        <v>0.4</v>
      </c>
      <c r="F118" s="6">
        <v>0.37</v>
      </c>
      <c r="G118" s="6">
        <f>AVERAGE(C118:F118)</f>
        <v>0.43000000000000005</v>
      </c>
      <c r="H118" s="7">
        <f t="shared" si="1"/>
        <v>0.25</v>
      </c>
    </row>
    <row r="119" spans="1:8" x14ac:dyDescent="0.45">
      <c r="B119" t="s">
        <v>1309</v>
      </c>
      <c r="C119" s="6">
        <v>0.25</v>
      </c>
      <c r="D119" s="6">
        <v>0.15</v>
      </c>
      <c r="E119" s="6">
        <v>0.3</v>
      </c>
      <c r="F119" s="6">
        <v>0.16</v>
      </c>
      <c r="G119" s="6">
        <f>AVERAGE(C119:F119)</f>
        <v>0.215</v>
      </c>
      <c r="H119" s="7">
        <f t="shared" si="1"/>
        <v>0.15</v>
      </c>
    </row>
    <row r="120" spans="1:8" x14ac:dyDescent="0.45">
      <c r="B120" t="s">
        <v>1310</v>
      </c>
      <c r="C120" s="6">
        <v>0.05</v>
      </c>
      <c r="D120" s="6">
        <v>0.18</v>
      </c>
      <c r="E120" s="6">
        <v>0.1</v>
      </c>
      <c r="F120" s="6">
        <v>0.27</v>
      </c>
      <c r="G120" s="6">
        <f>AVERAGE(C120:F120)</f>
        <v>0.15</v>
      </c>
      <c r="H120" s="7">
        <f t="shared" si="1"/>
        <v>0.22000000000000003</v>
      </c>
    </row>
    <row r="121" spans="1:8" x14ac:dyDescent="0.45">
      <c r="B121" t="s">
        <v>1289</v>
      </c>
      <c r="C121" s="6">
        <v>0.02</v>
      </c>
      <c r="D121" s="6">
        <v>0.06</v>
      </c>
      <c r="E121" s="6">
        <v>0.05</v>
      </c>
      <c r="F121" s="6">
        <v>0.03</v>
      </c>
      <c r="G121" s="6">
        <f>AVERAGE(C121:F121)</f>
        <v>0.04</v>
      </c>
      <c r="H121" s="7">
        <f t="shared" si="1"/>
        <v>3.9999999999999994E-2</v>
      </c>
    </row>
    <row r="122" spans="1:8" x14ac:dyDescent="0.45">
      <c r="A122" t="s">
        <v>53</v>
      </c>
      <c r="B122" t="s">
        <v>1256</v>
      </c>
      <c r="C122" s="6"/>
      <c r="D122" s="6" t="s">
        <v>1256</v>
      </c>
      <c r="E122" s="6" t="s">
        <v>1256</v>
      </c>
      <c r="F122" s="6" t="s">
        <v>1256</v>
      </c>
      <c r="G122" s="6"/>
      <c r="H122" s="7">
        <f t="shared" si="1"/>
        <v>0</v>
      </c>
    </row>
    <row r="123" spans="1:8" x14ac:dyDescent="0.45">
      <c r="B123" t="s">
        <v>1306</v>
      </c>
      <c r="C123" s="6">
        <v>0.3</v>
      </c>
      <c r="D123" s="6">
        <v>0.2</v>
      </c>
      <c r="E123" s="6">
        <v>0.2</v>
      </c>
      <c r="F123" s="6">
        <v>0.15</v>
      </c>
      <c r="G123" s="6">
        <f>AVERAGE(C123:F123)</f>
        <v>0.21249999999999999</v>
      </c>
      <c r="H123" s="7">
        <f t="shared" si="1"/>
        <v>0.15</v>
      </c>
    </row>
    <row r="124" spans="1:8" x14ac:dyDescent="0.45">
      <c r="B124" t="s">
        <v>1307</v>
      </c>
      <c r="C124" s="6">
        <v>0.2</v>
      </c>
      <c r="D124" s="6">
        <v>0.15</v>
      </c>
      <c r="E124" s="6">
        <v>0.15</v>
      </c>
      <c r="F124" s="6">
        <v>0.14000000000000001</v>
      </c>
      <c r="G124" s="6">
        <f>AVERAGE(C124:F124)</f>
        <v>0.16</v>
      </c>
      <c r="H124" s="7">
        <f t="shared" si="1"/>
        <v>0.06</v>
      </c>
    </row>
    <row r="125" spans="1:8" x14ac:dyDescent="0.45">
      <c r="B125" t="s">
        <v>1308</v>
      </c>
      <c r="C125" s="6">
        <v>0.5</v>
      </c>
      <c r="D125" s="6">
        <v>0.28000000000000003</v>
      </c>
      <c r="E125" s="6">
        <v>0.35</v>
      </c>
      <c r="F125" s="6">
        <v>0.28000000000000003</v>
      </c>
      <c r="G125" s="6">
        <f>AVERAGE(C125:F125)</f>
        <v>0.35249999999999998</v>
      </c>
      <c r="H125" s="7">
        <f t="shared" si="1"/>
        <v>0.21999999999999997</v>
      </c>
    </row>
    <row r="126" spans="1:8" x14ac:dyDescent="0.45">
      <c r="B126" t="s">
        <v>1309</v>
      </c>
      <c r="C126" s="6">
        <v>0.4</v>
      </c>
      <c r="D126" s="6">
        <v>0.22</v>
      </c>
      <c r="E126" s="6">
        <v>0.3</v>
      </c>
      <c r="F126" s="6">
        <v>0.19</v>
      </c>
      <c r="G126" s="6">
        <f>AVERAGE(C126:F126)</f>
        <v>0.27749999999999997</v>
      </c>
      <c r="H126" s="7">
        <f t="shared" si="1"/>
        <v>0.21000000000000002</v>
      </c>
    </row>
    <row r="127" spans="1:8" x14ac:dyDescent="0.45">
      <c r="B127" t="s">
        <v>1310</v>
      </c>
      <c r="C127" s="6">
        <v>0.25</v>
      </c>
      <c r="D127" s="6">
        <v>0.4</v>
      </c>
      <c r="E127" s="6">
        <v>0.25</v>
      </c>
      <c r="F127" s="6">
        <v>0.43</v>
      </c>
      <c r="G127" s="6">
        <f>AVERAGE(C127:F127)</f>
        <v>0.33250000000000002</v>
      </c>
      <c r="H127" s="7">
        <f t="shared" si="1"/>
        <v>0.18</v>
      </c>
    </row>
    <row r="128" spans="1:8" x14ac:dyDescent="0.45">
      <c r="B128" t="s">
        <v>1289</v>
      </c>
      <c r="C128" s="6">
        <v>0.05</v>
      </c>
      <c r="D128" s="6">
        <v>0.08</v>
      </c>
      <c r="E128" s="6">
        <v>0.1</v>
      </c>
      <c r="F128" s="6">
        <v>0.06</v>
      </c>
      <c r="G128" s="6">
        <f>AVERAGE(C128:F128)</f>
        <v>7.2500000000000009E-2</v>
      </c>
      <c r="H128" s="7">
        <f t="shared" si="1"/>
        <v>0.05</v>
      </c>
    </row>
    <row r="129" spans="1:8" x14ac:dyDescent="0.45">
      <c r="A129" t="s">
        <v>112</v>
      </c>
      <c r="B129" t="s">
        <v>1256</v>
      </c>
      <c r="C129" s="6"/>
      <c r="D129" s="6" t="s">
        <v>1256</v>
      </c>
      <c r="E129" s="6" t="s">
        <v>1256</v>
      </c>
      <c r="F129" s="6" t="s">
        <v>1256</v>
      </c>
      <c r="G129" s="6"/>
      <c r="H129" s="7"/>
    </row>
    <row r="130" spans="1:8" x14ac:dyDescent="0.45">
      <c r="A130" t="s">
        <v>41</v>
      </c>
      <c r="B130" t="s">
        <v>1256</v>
      </c>
      <c r="C130" s="6"/>
      <c r="D130" s="6" t="s">
        <v>1256</v>
      </c>
      <c r="E130" s="6" t="s">
        <v>1256</v>
      </c>
      <c r="F130" s="6" t="s">
        <v>1256</v>
      </c>
      <c r="G130" s="6"/>
      <c r="H130" s="7"/>
    </row>
    <row r="131" spans="1:8" x14ac:dyDescent="0.45">
      <c r="B131" t="s">
        <v>1311</v>
      </c>
      <c r="C131" s="6">
        <v>0.2</v>
      </c>
      <c r="D131" s="6">
        <v>0.25</v>
      </c>
      <c r="E131" s="6">
        <v>0.3</v>
      </c>
      <c r="F131" s="6">
        <v>0.26</v>
      </c>
      <c r="G131" s="6">
        <f>AVERAGE(C131:F131)</f>
        <v>0.2525</v>
      </c>
      <c r="H131" s="7">
        <f t="shared" si="1"/>
        <v>9.9999999999999978E-2</v>
      </c>
    </row>
    <row r="132" spans="1:8" x14ac:dyDescent="0.45">
      <c r="B132" t="s">
        <v>1312</v>
      </c>
      <c r="C132" s="6">
        <v>0.55000000000000004</v>
      </c>
      <c r="D132" s="6">
        <v>0.45</v>
      </c>
      <c r="E132" s="6">
        <v>0.5</v>
      </c>
      <c r="F132" s="6">
        <v>0.41</v>
      </c>
      <c r="G132" s="6">
        <f>AVERAGE(C132:F132)</f>
        <v>0.47749999999999998</v>
      </c>
      <c r="H132" s="7">
        <f t="shared" si="1"/>
        <v>0.14000000000000007</v>
      </c>
    </row>
    <row r="133" spans="1:8" x14ac:dyDescent="0.45">
      <c r="B133" t="s">
        <v>1313</v>
      </c>
      <c r="C133" s="6">
        <v>0.45</v>
      </c>
      <c r="D133" s="6">
        <v>0.5</v>
      </c>
      <c r="E133" s="6">
        <v>0.45</v>
      </c>
      <c r="F133" s="6">
        <v>0.44</v>
      </c>
      <c r="G133" s="6">
        <f>AVERAGE(C133:F133)</f>
        <v>0.45999999999999996</v>
      </c>
      <c r="H133" s="7">
        <f t="shared" ref="H133:H196" si="2">MAX(C133:F133)-MIN(C133:F133)</f>
        <v>0.06</v>
      </c>
    </row>
    <row r="134" spans="1:8" x14ac:dyDescent="0.45">
      <c r="B134" t="s">
        <v>1314</v>
      </c>
      <c r="C134" s="6">
        <v>0.75</v>
      </c>
      <c r="D134" s="6">
        <v>0.55000000000000004</v>
      </c>
      <c r="E134" s="6">
        <v>0.6</v>
      </c>
      <c r="F134" s="6">
        <v>0.57999999999999996</v>
      </c>
      <c r="G134" s="6">
        <f>AVERAGE(C134:F134)</f>
        <v>0.62</v>
      </c>
      <c r="H134" s="7">
        <f t="shared" si="2"/>
        <v>0.19999999999999996</v>
      </c>
    </row>
    <row r="135" spans="1:8" x14ac:dyDescent="0.45">
      <c r="B135" t="s">
        <v>1315</v>
      </c>
      <c r="C135" s="6">
        <v>0.4</v>
      </c>
      <c r="D135" s="6">
        <v>0.4</v>
      </c>
      <c r="E135" s="6">
        <v>0.55000000000000004</v>
      </c>
      <c r="F135" s="6">
        <v>0.39</v>
      </c>
      <c r="G135" s="6">
        <f>AVERAGE(C135:F135)</f>
        <v>0.43500000000000005</v>
      </c>
      <c r="H135" s="7">
        <f t="shared" si="2"/>
        <v>0.16000000000000003</v>
      </c>
    </row>
    <row r="136" spans="1:8" x14ac:dyDescent="0.45">
      <c r="B136" t="s">
        <v>1289</v>
      </c>
      <c r="C136" s="6">
        <v>0.02</v>
      </c>
      <c r="D136" s="6">
        <v>0.06</v>
      </c>
      <c r="E136" s="6">
        <v>0.05</v>
      </c>
      <c r="F136" s="6">
        <v>0.04</v>
      </c>
      <c r="G136" s="6">
        <f>AVERAGE(C136:F136)</f>
        <v>4.2500000000000003E-2</v>
      </c>
      <c r="H136" s="7">
        <f t="shared" si="2"/>
        <v>3.9999999999999994E-2</v>
      </c>
    </row>
    <row r="137" spans="1:8" x14ac:dyDescent="0.45">
      <c r="A137" t="s">
        <v>47</v>
      </c>
      <c r="B137" t="s">
        <v>1256</v>
      </c>
      <c r="C137" s="6"/>
      <c r="D137" s="6" t="s">
        <v>1256</v>
      </c>
      <c r="E137" s="6" t="s">
        <v>1256</v>
      </c>
      <c r="F137" s="6" t="s">
        <v>1256</v>
      </c>
      <c r="G137" s="6"/>
      <c r="H137" s="7">
        <f t="shared" si="2"/>
        <v>0</v>
      </c>
    </row>
    <row r="138" spans="1:8" x14ac:dyDescent="0.45">
      <c r="B138" t="s">
        <v>1311</v>
      </c>
      <c r="C138" s="6">
        <v>0.25</v>
      </c>
      <c r="D138" s="6">
        <v>0.2</v>
      </c>
      <c r="E138" s="6">
        <v>0.35</v>
      </c>
      <c r="F138" s="6">
        <v>0.31</v>
      </c>
      <c r="G138" s="6">
        <f>AVERAGE(C138:F138)</f>
        <v>0.27750000000000002</v>
      </c>
      <c r="H138" s="7">
        <f t="shared" si="2"/>
        <v>0.14999999999999997</v>
      </c>
    </row>
    <row r="139" spans="1:8" x14ac:dyDescent="0.45">
      <c r="B139" t="s">
        <v>1312</v>
      </c>
      <c r="C139" s="6">
        <v>0.7</v>
      </c>
      <c r="D139" s="6">
        <v>0.55000000000000004</v>
      </c>
      <c r="E139" s="6">
        <v>0.55000000000000004</v>
      </c>
      <c r="F139" s="6">
        <v>0.49</v>
      </c>
      <c r="G139" s="6">
        <f>AVERAGE(C139:F139)</f>
        <v>0.57250000000000001</v>
      </c>
      <c r="H139" s="7">
        <f t="shared" si="2"/>
        <v>0.20999999999999996</v>
      </c>
    </row>
    <row r="140" spans="1:8" x14ac:dyDescent="0.45">
      <c r="B140" t="s">
        <v>1313</v>
      </c>
      <c r="C140" s="6">
        <v>0.5</v>
      </c>
      <c r="D140" s="6">
        <v>0.45</v>
      </c>
      <c r="E140" s="6">
        <v>0.4</v>
      </c>
      <c r="F140" s="6">
        <v>0.46</v>
      </c>
      <c r="G140" s="6">
        <f>AVERAGE(C140:F140)</f>
        <v>0.45250000000000001</v>
      </c>
      <c r="H140" s="7">
        <f t="shared" si="2"/>
        <v>9.9999999999999978E-2</v>
      </c>
    </row>
    <row r="141" spans="1:8" x14ac:dyDescent="0.45">
      <c r="B141" t="s">
        <v>1314</v>
      </c>
      <c r="C141" s="6">
        <v>0.85</v>
      </c>
      <c r="D141" s="6">
        <v>0.5</v>
      </c>
      <c r="E141" s="6">
        <v>0.5</v>
      </c>
      <c r="F141" s="6">
        <v>0.62</v>
      </c>
      <c r="G141" s="6">
        <f>AVERAGE(C141:F141)</f>
        <v>0.61750000000000005</v>
      </c>
      <c r="H141" s="7">
        <f t="shared" si="2"/>
        <v>0.35</v>
      </c>
    </row>
    <row r="142" spans="1:8" x14ac:dyDescent="0.45">
      <c r="B142" t="s">
        <v>1315</v>
      </c>
      <c r="C142" s="6">
        <v>0.6</v>
      </c>
      <c r="D142" s="6">
        <v>0.48</v>
      </c>
      <c r="E142" s="6">
        <v>0.45</v>
      </c>
      <c r="F142" s="6">
        <v>0.43</v>
      </c>
      <c r="G142" s="6">
        <f>AVERAGE(C142:F142)</f>
        <v>0.49</v>
      </c>
      <c r="H142" s="7">
        <f t="shared" si="2"/>
        <v>0.16999999999999998</v>
      </c>
    </row>
    <row r="143" spans="1:8" x14ac:dyDescent="0.45">
      <c r="B143" t="s">
        <v>1289</v>
      </c>
      <c r="C143" s="6">
        <v>0.02</v>
      </c>
      <c r="D143" s="6">
        <v>0.05</v>
      </c>
      <c r="E143" s="6">
        <v>0.05</v>
      </c>
      <c r="F143" s="6">
        <v>0.03</v>
      </c>
      <c r="G143" s="6">
        <f>AVERAGE(C143:F143)</f>
        <v>3.7500000000000006E-2</v>
      </c>
      <c r="H143" s="7">
        <f t="shared" si="2"/>
        <v>3.0000000000000002E-2</v>
      </c>
    </row>
    <row r="144" spans="1:8" x14ac:dyDescent="0.45">
      <c r="A144" t="s">
        <v>53</v>
      </c>
      <c r="B144" t="s">
        <v>1256</v>
      </c>
      <c r="C144" s="6"/>
      <c r="D144" s="6" t="s">
        <v>1256</v>
      </c>
      <c r="E144" s="6" t="s">
        <v>1256</v>
      </c>
      <c r="F144" s="6" t="s">
        <v>1256</v>
      </c>
      <c r="G144" s="6"/>
      <c r="H144" s="7">
        <f t="shared" si="2"/>
        <v>0</v>
      </c>
    </row>
    <row r="145" spans="1:8" x14ac:dyDescent="0.45">
      <c r="B145" t="s">
        <v>1311</v>
      </c>
      <c r="C145" s="6">
        <v>0.3</v>
      </c>
      <c r="D145" s="6">
        <v>0.22</v>
      </c>
      <c r="E145" s="6">
        <v>0.4</v>
      </c>
      <c r="F145" s="6">
        <v>0.19</v>
      </c>
      <c r="G145" s="6">
        <f>AVERAGE(C145:F145)</f>
        <v>0.27750000000000002</v>
      </c>
      <c r="H145" s="7">
        <f t="shared" si="2"/>
        <v>0.21000000000000002</v>
      </c>
    </row>
    <row r="146" spans="1:8" x14ac:dyDescent="0.45">
      <c r="B146" t="s">
        <v>1312</v>
      </c>
      <c r="C146" s="6">
        <v>0.4</v>
      </c>
      <c r="D146" s="6">
        <v>0.35</v>
      </c>
      <c r="E146" s="6">
        <v>0.45</v>
      </c>
      <c r="F146" s="6">
        <v>0.28000000000000003</v>
      </c>
      <c r="G146" s="6">
        <f>AVERAGE(C146:F146)</f>
        <v>0.37</v>
      </c>
      <c r="H146" s="7">
        <f t="shared" si="2"/>
        <v>0.16999999999999998</v>
      </c>
    </row>
    <row r="147" spans="1:8" x14ac:dyDescent="0.45">
      <c r="B147" t="s">
        <v>1313</v>
      </c>
      <c r="C147" s="6">
        <v>0.55000000000000004</v>
      </c>
      <c r="D147" s="6">
        <v>0.4</v>
      </c>
      <c r="E147" s="6">
        <v>0.5</v>
      </c>
      <c r="F147" s="6">
        <v>0.33</v>
      </c>
      <c r="G147" s="6">
        <f>AVERAGE(C147:F147)</f>
        <v>0.44500000000000006</v>
      </c>
      <c r="H147" s="7">
        <f t="shared" si="2"/>
        <v>0.22000000000000003</v>
      </c>
    </row>
    <row r="148" spans="1:8" x14ac:dyDescent="0.45">
      <c r="B148" t="s">
        <v>1314</v>
      </c>
      <c r="C148" s="6">
        <v>0.5</v>
      </c>
      <c r="D148" s="6">
        <v>0.3</v>
      </c>
      <c r="E148" s="6">
        <v>0.35</v>
      </c>
      <c r="F148" s="6">
        <v>0.36</v>
      </c>
      <c r="G148" s="6">
        <f>AVERAGE(C148:F148)</f>
        <v>0.37749999999999995</v>
      </c>
      <c r="H148" s="7">
        <f t="shared" si="2"/>
        <v>0.2</v>
      </c>
    </row>
    <row r="149" spans="1:8" x14ac:dyDescent="0.45">
      <c r="B149" t="s">
        <v>1315</v>
      </c>
      <c r="C149" s="6">
        <v>0.35</v>
      </c>
      <c r="D149" s="6">
        <v>0.35</v>
      </c>
      <c r="E149" s="6">
        <v>0.4</v>
      </c>
      <c r="F149" s="6">
        <v>0.28999999999999998</v>
      </c>
      <c r="G149" s="6">
        <f>AVERAGE(C149:F149)</f>
        <v>0.34750000000000003</v>
      </c>
      <c r="H149" s="7">
        <f t="shared" si="2"/>
        <v>0.11000000000000004</v>
      </c>
    </row>
    <row r="150" spans="1:8" x14ac:dyDescent="0.45">
      <c r="B150" t="s">
        <v>1289</v>
      </c>
      <c r="C150" s="6">
        <v>0.05</v>
      </c>
      <c r="D150" s="6">
        <v>0.1</v>
      </c>
      <c r="E150" s="6">
        <v>0.1</v>
      </c>
      <c r="F150" s="6">
        <v>0.06</v>
      </c>
      <c r="G150" s="6">
        <f>AVERAGE(C150:F150)</f>
        <v>7.7499999999999999E-2</v>
      </c>
      <c r="H150" s="7">
        <f t="shared" si="2"/>
        <v>0.05</v>
      </c>
    </row>
    <row r="151" spans="1:8" x14ac:dyDescent="0.45">
      <c r="A151" t="s">
        <v>128</v>
      </c>
      <c r="B151" t="s">
        <v>1256</v>
      </c>
      <c r="C151" s="6"/>
      <c r="D151" s="6" t="s">
        <v>1256</v>
      </c>
      <c r="E151" s="6" t="s">
        <v>1256</v>
      </c>
      <c r="F151" s="6" t="s">
        <v>1256</v>
      </c>
      <c r="G151" s="6"/>
      <c r="H151" s="7"/>
    </row>
    <row r="152" spans="1:8" x14ac:dyDescent="0.45">
      <c r="A152" t="s">
        <v>41</v>
      </c>
      <c r="B152" t="s">
        <v>1256</v>
      </c>
      <c r="C152" s="6"/>
      <c r="D152" s="6" t="s">
        <v>1256</v>
      </c>
      <c r="E152" s="6" t="s">
        <v>1256</v>
      </c>
      <c r="F152" s="6" t="s">
        <v>1256</v>
      </c>
      <c r="G152" s="6"/>
      <c r="H152" s="7"/>
    </row>
    <row r="153" spans="1:8" x14ac:dyDescent="0.45">
      <c r="B153" t="s">
        <v>1316</v>
      </c>
      <c r="C153" s="6">
        <v>0.65</v>
      </c>
      <c r="D153" s="6">
        <v>0.5</v>
      </c>
      <c r="E153" s="6">
        <v>0.5</v>
      </c>
      <c r="F153" s="6">
        <v>0.47</v>
      </c>
      <c r="G153" s="6">
        <f>AVERAGE(C153:F153)</f>
        <v>0.53</v>
      </c>
      <c r="H153" s="7">
        <f t="shared" si="2"/>
        <v>0.18000000000000005</v>
      </c>
    </row>
    <row r="154" spans="1:8" x14ac:dyDescent="0.45">
      <c r="B154" t="s">
        <v>1317</v>
      </c>
      <c r="C154" s="6">
        <v>0.7</v>
      </c>
      <c r="D154" s="6">
        <v>0.55000000000000004</v>
      </c>
      <c r="E154" s="6">
        <v>0.6</v>
      </c>
      <c r="F154" s="6">
        <v>0.54</v>
      </c>
      <c r="G154" s="6">
        <f>AVERAGE(C154:F154)</f>
        <v>0.59750000000000003</v>
      </c>
      <c r="H154" s="7">
        <f t="shared" si="2"/>
        <v>0.15999999999999992</v>
      </c>
    </row>
    <row r="155" spans="1:8" x14ac:dyDescent="0.45">
      <c r="B155" t="s">
        <v>1318</v>
      </c>
      <c r="C155" s="6">
        <v>0.45</v>
      </c>
      <c r="D155" s="6">
        <v>0.35</v>
      </c>
      <c r="E155" s="6">
        <v>0.4</v>
      </c>
      <c r="F155" s="6">
        <v>0.43</v>
      </c>
      <c r="G155" s="6">
        <f>AVERAGE(C155:F155)</f>
        <v>0.40750000000000003</v>
      </c>
      <c r="H155" s="7">
        <f t="shared" si="2"/>
        <v>0.10000000000000003</v>
      </c>
    </row>
    <row r="156" spans="1:8" x14ac:dyDescent="0.45">
      <c r="B156" t="s">
        <v>1319</v>
      </c>
      <c r="C156" s="6">
        <v>0.55000000000000004</v>
      </c>
      <c r="D156" s="6">
        <v>0.4</v>
      </c>
      <c r="E156" s="6">
        <v>0.45</v>
      </c>
      <c r="F156" s="6">
        <v>0.38</v>
      </c>
      <c r="G156" s="6">
        <f>AVERAGE(C156:F156)</f>
        <v>0.44500000000000006</v>
      </c>
      <c r="H156" s="7">
        <f t="shared" si="2"/>
        <v>0.17000000000000004</v>
      </c>
    </row>
    <row r="157" spans="1:8" x14ac:dyDescent="0.45">
      <c r="B157" t="s">
        <v>1320</v>
      </c>
      <c r="C157" s="6">
        <v>0.3</v>
      </c>
      <c r="D157" s="6">
        <v>0.25</v>
      </c>
      <c r="E157" s="6">
        <v>0.3</v>
      </c>
      <c r="F157" s="6">
        <v>0.19</v>
      </c>
      <c r="G157" s="6">
        <f>AVERAGE(C157:F157)</f>
        <v>0.26</v>
      </c>
      <c r="H157" s="7">
        <f t="shared" si="2"/>
        <v>0.10999999999999999</v>
      </c>
    </row>
    <row r="158" spans="1:8" x14ac:dyDescent="0.45">
      <c r="B158" t="s">
        <v>1321</v>
      </c>
      <c r="C158" s="6">
        <v>0.1</v>
      </c>
      <c r="D158" s="6">
        <v>0.15</v>
      </c>
      <c r="E158" s="6">
        <v>0.1</v>
      </c>
      <c r="F158" s="6">
        <v>0.17</v>
      </c>
      <c r="G158" s="6">
        <f>AVERAGE(C158:F158)</f>
        <v>0.13</v>
      </c>
      <c r="H158" s="7">
        <f t="shared" si="2"/>
        <v>7.0000000000000007E-2</v>
      </c>
    </row>
    <row r="159" spans="1:8" x14ac:dyDescent="0.45">
      <c r="B159" t="s">
        <v>1289</v>
      </c>
      <c r="C159" s="6">
        <v>0.02</v>
      </c>
      <c r="D159" s="6">
        <v>0.05</v>
      </c>
      <c r="E159" s="6">
        <v>0.05</v>
      </c>
      <c r="F159" s="6">
        <v>0.04</v>
      </c>
      <c r="G159" s="6">
        <f>AVERAGE(C159:F159)</f>
        <v>0.04</v>
      </c>
      <c r="H159" s="7">
        <f t="shared" si="2"/>
        <v>3.0000000000000002E-2</v>
      </c>
    </row>
    <row r="160" spans="1:8" x14ac:dyDescent="0.45">
      <c r="A160" t="s">
        <v>47</v>
      </c>
      <c r="B160" t="s">
        <v>1256</v>
      </c>
      <c r="C160" s="6"/>
      <c r="D160" s="6" t="s">
        <v>1256</v>
      </c>
      <c r="E160" s="6" t="s">
        <v>1256</v>
      </c>
      <c r="F160" s="6" t="s">
        <v>1256</v>
      </c>
      <c r="G160" s="6"/>
      <c r="H160" s="7"/>
    </row>
    <row r="161" spans="1:8" x14ac:dyDescent="0.45">
      <c r="B161" t="s">
        <v>1316</v>
      </c>
      <c r="C161" s="6">
        <v>0.55000000000000004</v>
      </c>
      <c r="D161" s="6">
        <v>0.45</v>
      </c>
      <c r="E161" s="6">
        <v>0.45</v>
      </c>
      <c r="F161" s="6">
        <v>0.42</v>
      </c>
      <c r="G161" s="6">
        <f>AVERAGE(C161:F161)</f>
        <v>0.46749999999999997</v>
      </c>
      <c r="H161" s="7">
        <f t="shared" si="2"/>
        <v>0.13000000000000006</v>
      </c>
    </row>
    <row r="162" spans="1:8" x14ac:dyDescent="0.45">
      <c r="B162" t="s">
        <v>1317</v>
      </c>
      <c r="C162" s="6">
        <v>0.6</v>
      </c>
      <c r="D162" s="6">
        <v>0.55000000000000004</v>
      </c>
      <c r="E162" s="6">
        <v>0.55000000000000004</v>
      </c>
      <c r="F162" s="6">
        <v>0.51</v>
      </c>
      <c r="G162" s="6">
        <f>AVERAGE(C162:F162)</f>
        <v>0.55249999999999999</v>
      </c>
      <c r="H162" s="7">
        <f t="shared" si="2"/>
        <v>8.9999999999999969E-2</v>
      </c>
    </row>
    <row r="163" spans="1:8" x14ac:dyDescent="0.45">
      <c r="B163" t="s">
        <v>1318</v>
      </c>
      <c r="C163" s="6">
        <v>0.75</v>
      </c>
      <c r="D163" s="6">
        <v>0.4</v>
      </c>
      <c r="E163" s="6">
        <v>0.5</v>
      </c>
      <c r="F163" s="6">
        <v>0.49</v>
      </c>
      <c r="G163" s="6">
        <f>AVERAGE(C163:F163)</f>
        <v>0.53499999999999992</v>
      </c>
      <c r="H163" s="7">
        <f t="shared" si="2"/>
        <v>0.35</v>
      </c>
    </row>
    <row r="164" spans="1:8" x14ac:dyDescent="0.45">
      <c r="B164" t="s">
        <v>1319</v>
      </c>
      <c r="C164" s="6">
        <v>0.65</v>
      </c>
      <c r="D164" s="6">
        <v>0.35</v>
      </c>
      <c r="E164" s="6">
        <v>0.4</v>
      </c>
      <c r="F164" s="6">
        <v>0.34</v>
      </c>
      <c r="G164" s="6">
        <f>AVERAGE(C164:F164)</f>
        <v>0.435</v>
      </c>
      <c r="H164" s="7">
        <f t="shared" si="2"/>
        <v>0.31</v>
      </c>
    </row>
    <row r="165" spans="1:8" x14ac:dyDescent="0.45">
      <c r="B165" t="s">
        <v>1320</v>
      </c>
      <c r="C165" s="6">
        <v>0.35</v>
      </c>
      <c r="D165" s="6">
        <v>0.22</v>
      </c>
      <c r="E165" s="6">
        <v>0.25</v>
      </c>
      <c r="F165" s="6">
        <v>0.17</v>
      </c>
      <c r="G165" s="6">
        <f>AVERAGE(C165:F165)</f>
        <v>0.2475</v>
      </c>
      <c r="H165" s="7">
        <f t="shared" si="2"/>
        <v>0.17999999999999997</v>
      </c>
    </row>
    <row r="166" spans="1:8" x14ac:dyDescent="0.45">
      <c r="B166" t="s">
        <v>1321</v>
      </c>
      <c r="C166" s="6">
        <v>0.05</v>
      </c>
      <c r="D166" s="6">
        <v>0.12</v>
      </c>
      <c r="E166" s="6">
        <v>0.05</v>
      </c>
      <c r="F166" s="6">
        <v>0.14000000000000001</v>
      </c>
      <c r="G166" s="6">
        <f>AVERAGE(C166:F166)</f>
        <v>0.09</v>
      </c>
      <c r="H166" s="7">
        <f t="shared" si="2"/>
        <v>9.0000000000000011E-2</v>
      </c>
    </row>
    <row r="167" spans="1:8" x14ac:dyDescent="0.45">
      <c r="B167" t="s">
        <v>1289</v>
      </c>
      <c r="C167" s="6">
        <v>0.02</v>
      </c>
      <c r="D167" s="6">
        <v>0.05</v>
      </c>
      <c r="E167" s="6">
        <v>0.05</v>
      </c>
      <c r="F167" s="6">
        <v>0.03</v>
      </c>
      <c r="G167" s="6">
        <f>AVERAGE(C167:F167)</f>
        <v>3.7500000000000006E-2</v>
      </c>
      <c r="H167" s="7">
        <f t="shared" si="2"/>
        <v>3.0000000000000002E-2</v>
      </c>
    </row>
    <row r="168" spans="1:8" x14ac:dyDescent="0.45">
      <c r="A168" t="s">
        <v>53</v>
      </c>
      <c r="B168" t="s">
        <v>1256</v>
      </c>
      <c r="C168" s="6"/>
      <c r="D168" s="6" t="s">
        <v>1256</v>
      </c>
      <c r="E168" s="6" t="s">
        <v>1256</v>
      </c>
      <c r="F168" s="6" t="s">
        <v>1256</v>
      </c>
      <c r="G168" s="6"/>
      <c r="H168" s="7"/>
    </row>
    <row r="169" spans="1:8" x14ac:dyDescent="0.45">
      <c r="B169" t="s">
        <v>1316</v>
      </c>
      <c r="C169" s="6">
        <v>0.7</v>
      </c>
      <c r="D169" s="6">
        <v>0.4</v>
      </c>
      <c r="E169" s="6">
        <v>0.55000000000000004</v>
      </c>
      <c r="F169" s="6">
        <v>0.36</v>
      </c>
      <c r="G169" s="6">
        <f>AVERAGE(C169:F169)</f>
        <v>0.50250000000000006</v>
      </c>
      <c r="H169" s="7">
        <f t="shared" si="2"/>
        <v>0.33999999999999997</v>
      </c>
    </row>
    <row r="170" spans="1:8" x14ac:dyDescent="0.45">
      <c r="B170" t="s">
        <v>1317</v>
      </c>
      <c r="C170" s="6">
        <v>0.75</v>
      </c>
      <c r="D170" s="6">
        <v>0.5</v>
      </c>
      <c r="E170" s="6">
        <v>0.5</v>
      </c>
      <c r="F170" s="6">
        <v>0.44</v>
      </c>
      <c r="G170" s="6">
        <f>AVERAGE(C170:F170)</f>
        <v>0.54749999999999999</v>
      </c>
      <c r="H170" s="7">
        <f t="shared" si="2"/>
        <v>0.31</v>
      </c>
    </row>
    <row r="171" spans="1:8" x14ac:dyDescent="0.45">
      <c r="B171" t="s">
        <v>1318</v>
      </c>
      <c r="C171" s="6">
        <v>0.4</v>
      </c>
      <c r="D171" s="6">
        <v>0.28000000000000003</v>
      </c>
      <c r="E171" s="6">
        <v>0.35</v>
      </c>
      <c r="F171" s="6">
        <v>0.31</v>
      </c>
      <c r="G171" s="6">
        <f>AVERAGE(C171:F171)</f>
        <v>0.33500000000000002</v>
      </c>
      <c r="H171" s="7">
        <f t="shared" si="2"/>
        <v>0.12</v>
      </c>
    </row>
    <row r="172" spans="1:8" x14ac:dyDescent="0.45">
      <c r="B172" t="s">
        <v>1319</v>
      </c>
      <c r="C172" s="6">
        <v>0.45</v>
      </c>
      <c r="D172" s="6">
        <v>0.3</v>
      </c>
      <c r="E172" s="6">
        <v>0.4</v>
      </c>
      <c r="F172" s="6">
        <v>0.28999999999999998</v>
      </c>
      <c r="G172" s="6">
        <f>AVERAGE(C172:F172)</f>
        <v>0.36</v>
      </c>
      <c r="H172" s="7">
        <f t="shared" si="2"/>
        <v>0.16000000000000003</v>
      </c>
    </row>
    <row r="173" spans="1:8" x14ac:dyDescent="0.45">
      <c r="B173" t="s">
        <v>1320</v>
      </c>
      <c r="C173" s="6">
        <v>0.4</v>
      </c>
      <c r="D173" s="6">
        <v>0.2</v>
      </c>
      <c r="E173" s="6">
        <v>0.35</v>
      </c>
      <c r="F173" s="6">
        <v>0.15</v>
      </c>
      <c r="G173" s="6">
        <f>AVERAGE(C173:F173)</f>
        <v>0.27500000000000002</v>
      </c>
      <c r="H173" s="7">
        <f t="shared" si="2"/>
        <v>0.25</v>
      </c>
    </row>
    <row r="174" spans="1:8" x14ac:dyDescent="0.45">
      <c r="B174" t="s">
        <v>1321</v>
      </c>
      <c r="C174" s="6">
        <v>0.12</v>
      </c>
      <c r="D174" s="6">
        <v>0.22</v>
      </c>
      <c r="E174" s="6">
        <v>0.15</v>
      </c>
      <c r="F174" s="6">
        <v>0.24</v>
      </c>
      <c r="G174" s="6">
        <f>AVERAGE(C174:F174)</f>
        <v>0.1825</v>
      </c>
      <c r="H174" s="7">
        <f t="shared" si="2"/>
        <v>0.12</v>
      </c>
    </row>
    <row r="175" spans="1:8" x14ac:dyDescent="0.45">
      <c r="B175" t="s">
        <v>1289</v>
      </c>
      <c r="C175" s="6">
        <v>0.05</v>
      </c>
      <c r="D175" s="6">
        <v>0.08</v>
      </c>
      <c r="E175" s="6">
        <v>0.1</v>
      </c>
      <c r="F175" s="6">
        <v>0.05</v>
      </c>
      <c r="G175" s="6">
        <f>AVERAGE(C175:F175)</f>
        <v>7.0000000000000007E-2</v>
      </c>
      <c r="H175" s="7">
        <f t="shared" si="2"/>
        <v>0.05</v>
      </c>
    </row>
    <row r="176" spans="1:8" x14ac:dyDescent="0.45">
      <c r="A176" t="s">
        <v>147</v>
      </c>
      <c r="B176" t="s">
        <v>1256</v>
      </c>
      <c r="C176" s="6"/>
      <c r="D176" s="6" t="s">
        <v>1256</v>
      </c>
      <c r="E176" s="6" t="s">
        <v>1256</v>
      </c>
      <c r="F176" s="6" t="s">
        <v>1256</v>
      </c>
      <c r="G176" s="6"/>
      <c r="H176" s="7"/>
    </row>
    <row r="177" spans="1:8" x14ac:dyDescent="0.45">
      <c r="A177" t="s">
        <v>41</v>
      </c>
      <c r="B177" t="s">
        <v>1256</v>
      </c>
      <c r="C177" s="6"/>
      <c r="D177" s="6" t="s">
        <v>1256</v>
      </c>
      <c r="E177" s="6" t="s">
        <v>1256</v>
      </c>
      <c r="F177" s="6" t="s">
        <v>1256</v>
      </c>
      <c r="G177" s="6"/>
      <c r="H177" s="7"/>
    </row>
    <row r="178" spans="1:8" x14ac:dyDescent="0.45">
      <c r="B178" t="s">
        <v>1322</v>
      </c>
      <c r="C178" s="6">
        <v>0.4</v>
      </c>
      <c r="D178" s="6">
        <v>0.3</v>
      </c>
      <c r="E178" s="6">
        <v>0.25</v>
      </c>
      <c r="F178" s="6">
        <v>0.3</v>
      </c>
      <c r="G178" s="6">
        <f>AVERAGE(C178:F178)</f>
        <v>0.3125</v>
      </c>
      <c r="H178" s="7">
        <f t="shared" si="2"/>
        <v>0.15000000000000002</v>
      </c>
    </row>
    <row r="179" spans="1:8" x14ac:dyDescent="0.45">
      <c r="B179" t="s">
        <v>1323</v>
      </c>
      <c r="C179" s="6">
        <v>0.15</v>
      </c>
      <c r="D179" s="6">
        <v>0.12</v>
      </c>
      <c r="E179" s="6">
        <v>0.2</v>
      </c>
      <c r="F179" s="6">
        <v>0.16</v>
      </c>
      <c r="G179" s="6">
        <f>AVERAGE(C179:F179)</f>
        <v>0.1575</v>
      </c>
      <c r="H179" s="7">
        <f t="shared" si="2"/>
        <v>8.0000000000000016E-2</v>
      </c>
    </row>
    <row r="180" spans="1:8" x14ac:dyDescent="0.45">
      <c r="B180" t="s">
        <v>1324</v>
      </c>
      <c r="C180" s="6">
        <v>0.2</v>
      </c>
      <c r="D180" s="6">
        <v>0.2</v>
      </c>
      <c r="E180" s="6">
        <v>0.15</v>
      </c>
      <c r="F180" s="6">
        <v>0.14000000000000001</v>
      </c>
      <c r="G180" s="6">
        <f>AVERAGE(C180:F180)</f>
        <v>0.17250000000000001</v>
      </c>
      <c r="H180" s="7">
        <f t="shared" si="2"/>
        <v>0.06</v>
      </c>
    </row>
    <row r="181" spans="1:8" x14ac:dyDescent="0.45">
      <c r="B181" t="s">
        <v>1325</v>
      </c>
      <c r="C181" s="6">
        <v>0.15</v>
      </c>
      <c r="D181" s="6">
        <v>0.18</v>
      </c>
      <c r="E181" s="6">
        <v>0.2</v>
      </c>
      <c r="F181" s="6">
        <v>0.2</v>
      </c>
      <c r="G181" s="6">
        <f>AVERAGE(C181:F181)</f>
        <v>0.1825</v>
      </c>
      <c r="H181" s="7">
        <f t="shared" si="2"/>
        <v>5.0000000000000017E-2</v>
      </c>
    </row>
    <row r="182" spans="1:8" x14ac:dyDescent="0.45">
      <c r="B182" t="s">
        <v>1326</v>
      </c>
      <c r="C182" s="6">
        <v>0.08</v>
      </c>
      <c r="D182" s="6">
        <v>0.12</v>
      </c>
      <c r="E182" s="6">
        <v>0.1</v>
      </c>
      <c r="F182" s="6">
        <v>0.13</v>
      </c>
      <c r="G182" s="6">
        <f>AVERAGE(C182:F182)</f>
        <v>0.10750000000000001</v>
      </c>
      <c r="H182" s="7">
        <f t="shared" si="2"/>
        <v>0.05</v>
      </c>
    </row>
    <row r="183" spans="1:8" x14ac:dyDescent="0.45">
      <c r="B183" t="s">
        <v>1327</v>
      </c>
      <c r="C183" s="6">
        <v>0.02</v>
      </c>
      <c r="D183" s="6">
        <v>0.05</v>
      </c>
      <c r="E183" s="6">
        <v>0.05</v>
      </c>
      <c r="F183" s="6">
        <v>0.05</v>
      </c>
      <c r="G183" s="6">
        <f>AVERAGE(C183:F183)</f>
        <v>4.2500000000000003E-2</v>
      </c>
      <c r="H183" s="7">
        <f t="shared" si="2"/>
        <v>3.0000000000000002E-2</v>
      </c>
    </row>
    <row r="184" spans="1:8" x14ac:dyDescent="0.45">
      <c r="B184" t="s">
        <v>1328</v>
      </c>
      <c r="C184" s="6">
        <v>0</v>
      </c>
      <c r="D184" s="6">
        <v>0.03</v>
      </c>
      <c r="E184" s="6">
        <v>0.05</v>
      </c>
      <c r="F184" s="6">
        <v>0.02</v>
      </c>
      <c r="G184" s="6">
        <f>AVERAGE(C184:F184)</f>
        <v>2.5000000000000001E-2</v>
      </c>
      <c r="H184" s="7">
        <f t="shared" si="2"/>
        <v>0.05</v>
      </c>
    </row>
    <row r="185" spans="1:8" x14ac:dyDescent="0.45">
      <c r="A185" t="s">
        <v>47</v>
      </c>
      <c r="B185" t="s">
        <v>1256</v>
      </c>
      <c r="C185" s="6"/>
      <c r="D185" s="6" t="s">
        <v>1256</v>
      </c>
      <c r="E185" s="6" t="s">
        <v>1256</v>
      </c>
      <c r="F185" s="6" t="s">
        <v>1256</v>
      </c>
      <c r="G185" s="6"/>
      <c r="H185" s="7"/>
    </row>
    <row r="186" spans="1:8" x14ac:dyDescent="0.45">
      <c r="B186" t="s">
        <v>1322</v>
      </c>
      <c r="C186" s="6">
        <v>0.3</v>
      </c>
      <c r="D186" s="6">
        <v>0.22</v>
      </c>
      <c r="E186" s="6">
        <v>0.2</v>
      </c>
      <c r="F186" s="6">
        <v>0.24</v>
      </c>
      <c r="G186" s="6">
        <f>AVERAGE(C186:F186)</f>
        <v>0.24</v>
      </c>
      <c r="H186" s="7">
        <f t="shared" si="2"/>
        <v>9.9999999999999978E-2</v>
      </c>
    </row>
    <row r="187" spans="1:8" x14ac:dyDescent="0.45">
      <c r="B187" t="s">
        <v>1323</v>
      </c>
      <c r="C187" s="6">
        <v>0.25</v>
      </c>
      <c r="D187" s="6">
        <v>0.15</v>
      </c>
      <c r="E187" s="6">
        <v>0.25</v>
      </c>
      <c r="F187" s="6">
        <v>0.19</v>
      </c>
      <c r="G187" s="6">
        <f>AVERAGE(C187:F187)</f>
        <v>0.21000000000000002</v>
      </c>
      <c r="H187" s="7">
        <f t="shared" si="2"/>
        <v>0.1</v>
      </c>
    </row>
    <row r="188" spans="1:8" x14ac:dyDescent="0.45">
      <c r="B188" t="s">
        <v>1324</v>
      </c>
      <c r="C188" s="6">
        <v>0.15</v>
      </c>
      <c r="D188" s="6">
        <v>0.18</v>
      </c>
      <c r="E188" s="6">
        <v>0.15</v>
      </c>
      <c r="F188" s="6">
        <v>0.13</v>
      </c>
      <c r="G188" s="6">
        <f>AVERAGE(C188:F188)</f>
        <v>0.1525</v>
      </c>
      <c r="H188" s="7">
        <f t="shared" si="2"/>
        <v>4.9999999999999989E-2</v>
      </c>
    </row>
    <row r="189" spans="1:8" x14ac:dyDescent="0.45">
      <c r="B189" t="s">
        <v>1325</v>
      </c>
      <c r="C189" s="6">
        <v>0.2</v>
      </c>
      <c r="D189" s="6">
        <v>0.18</v>
      </c>
      <c r="E189" s="6">
        <v>0.15</v>
      </c>
      <c r="F189" s="6">
        <v>0.16</v>
      </c>
      <c r="G189" s="6">
        <f>AVERAGE(C189:F189)</f>
        <v>0.17250000000000001</v>
      </c>
      <c r="H189" s="7">
        <f t="shared" si="2"/>
        <v>5.0000000000000017E-2</v>
      </c>
    </row>
    <row r="190" spans="1:8" x14ac:dyDescent="0.45">
      <c r="B190" t="s">
        <v>1326</v>
      </c>
      <c r="C190" s="6">
        <v>0.05</v>
      </c>
      <c r="D190" s="6">
        <v>0.12</v>
      </c>
      <c r="E190" s="6">
        <v>0.1</v>
      </c>
      <c r="F190" s="6">
        <v>0.1</v>
      </c>
      <c r="G190" s="6">
        <f>AVERAGE(C190:F190)</f>
        <v>9.2499999999999999E-2</v>
      </c>
      <c r="H190" s="7">
        <f t="shared" si="2"/>
        <v>6.9999999999999993E-2</v>
      </c>
    </row>
    <row r="191" spans="1:8" x14ac:dyDescent="0.45">
      <c r="B191" t="s">
        <v>1327</v>
      </c>
      <c r="C191" s="6">
        <v>0.05</v>
      </c>
      <c r="D191" s="6">
        <v>0.1</v>
      </c>
      <c r="E191" s="6">
        <v>0.1</v>
      </c>
      <c r="F191" s="6">
        <v>0.16</v>
      </c>
      <c r="G191" s="6">
        <f>AVERAGE(C191:F191)</f>
        <v>0.10250000000000001</v>
      </c>
      <c r="H191" s="7">
        <f t="shared" si="2"/>
        <v>0.11</v>
      </c>
    </row>
    <row r="192" spans="1:8" x14ac:dyDescent="0.45">
      <c r="B192" t="s">
        <v>1328</v>
      </c>
      <c r="C192" s="6">
        <v>0</v>
      </c>
      <c r="D192" s="6">
        <v>0.05</v>
      </c>
      <c r="E192" s="6">
        <v>0.05</v>
      </c>
      <c r="F192" s="6">
        <v>0.02</v>
      </c>
      <c r="G192" s="6">
        <f>AVERAGE(C192:F192)</f>
        <v>3.0000000000000002E-2</v>
      </c>
      <c r="H192" s="7">
        <f t="shared" si="2"/>
        <v>0.05</v>
      </c>
    </row>
    <row r="193" spans="1:8" x14ac:dyDescent="0.45">
      <c r="A193" t="s">
        <v>53</v>
      </c>
      <c r="B193" t="s">
        <v>1256</v>
      </c>
      <c r="C193" s="6"/>
      <c r="D193" s="6" t="s">
        <v>1256</v>
      </c>
      <c r="E193" s="6" t="s">
        <v>1256</v>
      </c>
      <c r="F193" s="6" t="s">
        <v>1256</v>
      </c>
      <c r="G193" s="6"/>
      <c r="H193" s="7"/>
    </row>
    <row r="194" spans="1:8" x14ac:dyDescent="0.45">
      <c r="B194" t="s">
        <v>1322</v>
      </c>
      <c r="C194" s="6">
        <v>0.35</v>
      </c>
      <c r="D194" s="6">
        <v>0.28000000000000003</v>
      </c>
      <c r="E194" s="6">
        <v>0.3</v>
      </c>
      <c r="F194" s="6">
        <v>0.27</v>
      </c>
      <c r="G194" s="6">
        <f>AVERAGE(C194:F194)</f>
        <v>0.3</v>
      </c>
      <c r="H194" s="7">
        <f t="shared" si="2"/>
        <v>7.999999999999996E-2</v>
      </c>
    </row>
    <row r="195" spans="1:8" x14ac:dyDescent="0.45">
      <c r="B195" t="s">
        <v>1323</v>
      </c>
      <c r="C195" s="6">
        <v>0.15</v>
      </c>
      <c r="D195" s="6">
        <v>0.1</v>
      </c>
      <c r="E195" s="6">
        <v>0.15</v>
      </c>
      <c r="F195" s="6">
        <v>0.15</v>
      </c>
      <c r="G195" s="6">
        <f>AVERAGE(C195:F195)</f>
        <v>0.13750000000000001</v>
      </c>
      <c r="H195" s="7">
        <f t="shared" si="2"/>
        <v>4.9999999999999989E-2</v>
      </c>
    </row>
    <row r="196" spans="1:8" x14ac:dyDescent="0.45">
      <c r="B196" t="s">
        <v>1324</v>
      </c>
      <c r="C196" s="6">
        <v>0.25</v>
      </c>
      <c r="D196" s="6">
        <v>0.25</v>
      </c>
      <c r="E196" s="6">
        <v>0.2</v>
      </c>
      <c r="F196" s="6">
        <v>0.18</v>
      </c>
      <c r="G196" s="6">
        <f>AVERAGE(C196:F196)</f>
        <v>0.21999999999999997</v>
      </c>
      <c r="H196" s="7">
        <f t="shared" si="2"/>
        <v>7.0000000000000007E-2</v>
      </c>
    </row>
    <row r="197" spans="1:8" x14ac:dyDescent="0.45">
      <c r="B197" t="s">
        <v>1325</v>
      </c>
      <c r="C197" s="6">
        <v>0.1</v>
      </c>
      <c r="D197" s="6">
        <v>0.15</v>
      </c>
      <c r="E197" s="6">
        <v>0.15</v>
      </c>
      <c r="F197" s="6">
        <v>0.19</v>
      </c>
      <c r="G197" s="6">
        <f>AVERAGE(C197:F197)</f>
        <v>0.14750000000000002</v>
      </c>
      <c r="H197" s="7">
        <f t="shared" ref="H197:H205" si="3">MAX(C197:F197)-MIN(C197:F197)</f>
        <v>0.09</v>
      </c>
    </row>
    <row r="198" spans="1:8" x14ac:dyDescent="0.45">
      <c r="B198" t="s">
        <v>1326</v>
      </c>
      <c r="C198" s="6">
        <v>0.1</v>
      </c>
      <c r="D198" s="6">
        <v>0.14000000000000001</v>
      </c>
      <c r="E198" s="6">
        <v>0.1</v>
      </c>
      <c r="F198" s="6">
        <v>0.14000000000000001</v>
      </c>
      <c r="G198" s="6">
        <f>AVERAGE(C198:F198)</f>
        <v>0.12000000000000001</v>
      </c>
      <c r="H198" s="7">
        <f t="shared" si="3"/>
        <v>4.0000000000000008E-2</v>
      </c>
    </row>
    <row r="199" spans="1:8" x14ac:dyDescent="0.45">
      <c r="B199" t="s">
        <v>1327</v>
      </c>
      <c r="C199" s="6">
        <v>0.05</v>
      </c>
      <c r="D199" s="6">
        <v>0.05</v>
      </c>
      <c r="E199" s="6">
        <v>0.05</v>
      </c>
      <c r="F199" s="6">
        <v>0.05</v>
      </c>
      <c r="G199" s="6">
        <f>AVERAGE(C199:F199)</f>
        <v>0.05</v>
      </c>
      <c r="H199" s="7">
        <f t="shared" si="3"/>
        <v>0</v>
      </c>
    </row>
    <row r="200" spans="1:8" x14ac:dyDescent="0.45">
      <c r="B200" t="s">
        <v>1328</v>
      </c>
      <c r="C200" s="6">
        <v>0</v>
      </c>
      <c r="D200" s="6">
        <v>0.03</v>
      </c>
      <c r="E200" s="6">
        <v>0.05</v>
      </c>
      <c r="F200" s="6">
        <v>0.02</v>
      </c>
      <c r="G200" s="6">
        <f>AVERAGE(C200:F200)</f>
        <v>2.5000000000000001E-2</v>
      </c>
      <c r="H200" s="7">
        <f t="shared" si="3"/>
        <v>0.05</v>
      </c>
    </row>
    <row r="201" spans="1:8" x14ac:dyDescent="0.45">
      <c r="A201" t="s">
        <v>169</v>
      </c>
      <c r="B201" t="s">
        <v>1256</v>
      </c>
      <c r="D201" t="s">
        <v>1256</v>
      </c>
      <c r="E201" t="s">
        <v>1256</v>
      </c>
      <c r="F201" t="s">
        <v>1256</v>
      </c>
      <c r="H201" s="7"/>
    </row>
    <row r="202" spans="1:8" x14ac:dyDescent="0.45">
      <c r="B202" t="s">
        <v>1329</v>
      </c>
      <c r="C202">
        <v>75</v>
      </c>
      <c r="D202">
        <v>55</v>
      </c>
      <c r="E202">
        <v>80</v>
      </c>
      <c r="F202">
        <v>82</v>
      </c>
      <c r="G202">
        <f>AVERAGE(C202:F202)</f>
        <v>73</v>
      </c>
      <c r="H202">
        <f>MAX(C202:F202)-MIN(C202:F202)</f>
        <v>27</v>
      </c>
    </row>
    <row r="203" spans="1:8" x14ac:dyDescent="0.45">
      <c r="B203" t="s">
        <v>1330</v>
      </c>
      <c r="C203">
        <v>52</v>
      </c>
      <c r="D203">
        <v>38</v>
      </c>
      <c r="E203">
        <v>45</v>
      </c>
      <c r="F203">
        <v>49</v>
      </c>
      <c r="G203">
        <f>AVERAGE(C203:F203)</f>
        <v>46</v>
      </c>
      <c r="H203">
        <f t="shared" si="3"/>
        <v>14</v>
      </c>
    </row>
    <row r="204" spans="1:8" x14ac:dyDescent="0.45">
      <c r="B204" t="s">
        <v>1331</v>
      </c>
      <c r="C204">
        <v>23</v>
      </c>
      <c r="D204">
        <v>17</v>
      </c>
      <c r="E204">
        <v>30</v>
      </c>
      <c r="F204">
        <v>27</v>
      </c>
      <c r="G204">
        <f>AVERAGE(C204:F204)</f>
        <v>24.25</v>
      </c>
      <c r="H204">
        <f t="shared" si="3"/>
        <v>13</v>
      </c>
    </row>
    <row r="205" spans="1:8" x14ac:dyDescent="0.45">
      <c r="B205" t="s">
        <v>1335</v>
      </c>
      <c r="C205">
        <f>SUM(C202:C204)</f>
        <v>150</v>
      </c>
      <c r="D205">
        <f t="shared" ref="D205:G205" si="4">SUM(D202:D204)</f>
        <v>110</v>
      </c>
      <c r="E205">
        <f t="shared" si="4"/>
        <v>155</v>
      </c>
      <c r="F205">
        <f t="shared" si="4"/>
        <v>158</v>
      </c>
      <c r="G205">
        <f t="shared" si="4"/>
        <v>143.25</v>
      </c>
      <c r="H205">
        <f t="shared" si="3"/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Parsed Data</vt:lpstr>
      <vt:lpstr>cleaned and formatted</vt:lpstr>
      <vt:lpstr>Top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 nir Solotorevsky</dc:creator>
  <cp:lastModifiedBy>Gad nir Solotorevsky</cp:lastModifiedBy>
  <dcterms:created xsi:type="dcterms:W3CDTF">2026-04-16T12:19:30Z</dcterms:created>
  <dcterms:modified xsi:type="dcterms:W3CDTF">2026-04-16T18:46:01Z</dcterms:modified>
</cp:coreProperties>
</file>